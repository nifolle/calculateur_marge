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rmacie\Desktop\"/>
    </mc:Choice>
  </mc:AlternateContent>
  <xr:revisionPtr revIDLastSave="0" documentId="8_{20876B6F-F534-4F99-B5E3-1F44BC31327D}" xr6:coauthVersionLast="47" xr6:coauthVersionMax="47" xr10:uidLastSave="{00000000-0000-0000-0000-000000000000}"/>
  <bookViews>
    <workbookView xWindow="1260" yWindow="405" windowWidth="40530" windowHeight="20325" xr2:uid="{BB4B3BB7-3A90-4545-B925-23208399CFDA}"/>
  </bookViews>
  <sheets>
    <sheet name="MARGE PAR CLUSTERS CA" sheetId="6" r:id="rId1"/>
    <sheet name="SIMU PARTEN REEL + NON RETENU" sheetId="4" state="hidden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6" l="1"/>
  <c r="F28" i="6"/>
  <c r="G28" i="6"/>
  <c r="E29" i="6"/>
  <c r="F29" i="6"/>
  <c r="G29" i="6"/>
  <c r="E30" i="6"/>
  <c r="F30" i="6"/>
  <c r="G30" i="6"/>
  <c r="E31" i="6"/>
  <c r="F31" i="6"/>
  <c r="G31" i="6"/>
  <c r="E32" i="6"/>
  <c r="F32" i="6"/>
  <c r="G32" i="6"/>
  <c r="E33" i="6"/>
  <c r="F33" i="6"/>
  <c r="G33" i="6"/>
  <c r="E34" i="6"/>
  <c r="F34" i="6"/>
  <c r="G34" i="6"/>
  <c r="E35" i="6"/>
  <c r="F35" i="6"/>
  <c r="G35" i="6"/>
  <c r="E36" i="6"/>
  <c r="F36" i="6"/>
  <c r="G36" i="6"/>
  <c r="E37" i="6"/>
  <c r="F37" i="6"/>
  <c r="G37" i="6"/>
  <c r="E38" i="6"/>
  <c r="F38" i="6"/>
  <c r="G38" i="6"/>
  <c r="E39" i="6"/>
  <c r="F39" i="6"/>
  <c r="G39" i="6"/>
  <c r="E40" i="6"/>
  <c r="F40" i="6"/>
  <c r="G40" i="6"/>
  <c r="E41" i="6"/>
  <c r="F41" i="6"/>
  <c r="E42" i="6"/>
  <c r="F42" i="6"/>
  <c r="E43" i="6"/>
  <c r="F43" i="6"/>
  <c r="E44" i="6"/>
  <c r="F44" i="6"/>
  <c r="G44" i="6"/>
  <c r="E45" i="6"/>
  <c r="F45" i="6"/>
  <c r="G45" i="6"/>
  <c r="E46" i="6"/>
  <c r="F46" i="6"/>
  <c r="G46" i="6"/>
  <c r="E47" i="6"/>
  <c r="F47" i="6"/>
  <c r="G47" i="6"/>
  <c r="E48" i="6"/>
  <c r="F48" i="6"/>
  <c r="G48" i="6"/>
  <c r="E49" i="6"/>
  <c r="F49" i="6"/>
  <c r="G49" i="6"/>
  <c r="E50" i="6"/>
  <c r="F50" i="6"/>
  <c r="G50" i="6"/>
  <c r="E51" i="6"/>
  <c r="F51" i="6"/>
  <c r="G51" i="6"/>
  <c r="E52" i="6"/>
  <c r="F52" i="6"/>
  <c r="G52" i="6"/>
  <c r="E53" i="6"/>
  <c r="F53" i="6"/>
  <c r="G53" i="6"/>
  <c r="F2" i="6"/>
  <c r="F17" i="6" l="1"/>
  <c r="F16" i="6"/>
  <c r="F15" i="6"/>
  <c r="F14" i="6" l="1"/>
  <c r="F13" i="6"/>
  <c r="F12" i="6"/>
  <c r="F11" i="6"/>
  <c r="F10" i="6"/>
  <c r="F9" i="6"/>
  <c r="F8" i="6"/>
  <c r="F7" i="6"/>
  <c r="F6" i="6"/>
  <c r="F5" i="6"/>
  <c r="F4" i="6"/>
  <c r="F3" i="6"/>
  <c r="F27" i="6"/>
  <c r="F26" i="6"/>
  <c r="F25" i="6"/>
  <c r="F24" i="6"/>
  <c r="F23" i="6"/>
  <c r="F22" i="6"/>
  <c r="F21" i="6"/>
  <c r="F20" i="6"/>
  <c r="F19" i="6"/>
  <c r="F1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0" i="6" l="1"/>
  <c r="E13" i="6"/>
  <c r="E9" i="6"/>
  <c r="E14" i="6"/>
  <c r="E12" i="6"/>
  <c r="E11" i="6"/>
  <c r="E8" i="6"/>
  <c r="E7" i="6"/>
  <c r="E6" i="6"/>
  <c r="E5" i="6"/>
  <c r="E4" i="6"/>
  <c r="E3" i="6"/>
  <c r="E2" i="6" l="1"/>
  <c r="G13" i="6" l="1"/>
  <c r="G8" i="6"/>
  <c r="G5" i="6"/>
  <c r="G12" i="6"/>
  <c r="G11" i="6"/>
  <c r="G4" i="6"/>
  <c r="G14" i="6"/>
  <c r="G9" i="6"/>
  <c r="G6" i="6"/>
  <c r="G10" i="6"/>
  <c r="G3" i="6"/>
  <c r="G7" i="6"/>
  <c r="G2" i="6"/>
  <c r="G26" i="6" l="1"/>
  <c r="G18" i="6"/>
  <c r="G19" i="6"/>
  <c r="G20" i="6"/>
  <c r="G23" i="6"/>
  <c r="G21" i="6"/>
  <c r="G27" i="6"/>
  <c r="G25" i="6"/>
  <c r="G22" i="6"/>
  <c r="G24" i="6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<sst xmlns="http://schemas.openxmlformats.org/spreadsheetml/2006/main" count="122" uniqueCount="15">
  <si>
    <t>LACTALIS</t>
  </si>
  <si>
    <t>NUTRICIA</t>
  </si>
  <si>
    <t>NESTLE</t>
  </si>
  <si>
    <t>CA</t>
  </si>
  <si>
    <t>NON ELIGIBLE</t>
  </si>
  <si>
    <t>Cluster</t>
  </si>
  <si>
    <t>CLUSTER</t>
  </si>
  <si>
    <t>UM/Monge</t>
  </si>
  <si>
    <t>Direct</t>
  </si>
  <si>
    <t>Grossiste</t>
  </si>
  <si>
    <t>Aprium</t>
  </si>
  <si>
    <t>APPROVISIONNEMENT</t>
  </si>
  <si>
    <t>CA mini</t>
  </si>
  <si>
    <t>CA maxi</t>
  </si>
  <si>
    <t>Appro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</si>
</sst>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44" fontId="0" fillId="0" borderId="16" xfId="1" applyFon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 wrapText="1"/>
    </xf>
    <xf numFmtId="44" fontId="0" fillId="0" borderId="21" xfId="1" applyFont="1" applyBorder="1" applyAlignment="1">
      <alignment horizontal="center"/>
    </xf>
    <xf numFmtId="44" fontId="0" fillId="0" borderId="22" xfId="1" applyFont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10" fontId="0" fillId="0" borderId="23" xfId="0" applyNumberFormat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0" fontId="2" fillId="0" borderId="25" xfId="0" applyFont="1" applyBorder="1" applyAlignment="1">
      <alignment vertical="center"/>
    </xf>
    <xf numFmtId="0" fontId="2" fillId="0" borderId="25" xfId="0" applyFont="1" applyBorder="1" applyAlignment="1">
      <alignment vertical="center" wrapText="1"/>
    </xf>
    <xf numFmtId="44" fontId="0" fillId="0" borderId="7" xfId="1" applyFont="1" applyBorder="1" applyAlignment="1">
      <alignment horizontal="center"/>
    </xf>
    <xf numFmtId="44" fontId="0" fillId="0" borderId="26" xfId="1" applyFon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27" xfId="0" applyNumberFormat="1" applyBorder="1" applyAlignment="1">
      <alignment horizontal="center"/>
    </xf>
    <xf numFmtId="44" fontId="0" fillId="0" borderId="24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44" fontId="0" fillId="0" borderId="19" xfId="1" applyFont="1" applyBorder="1" applyAlignment="1">
      <alignment horizontal="center"/>
    </xf>
    <xf numFmtId="44" fontId="0" fillId="0" borderId="0" xfId="1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microsoft.com/office/2023/09/relationships/Python" Target="python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NESTLE%20HEALTH%20SCIENCE.xlsx" TargetMode="External"/><Relationship Id="rId1" Type="http://schemas.openxmlformats.org/officeDocument/2006/relationships/externalLinkPath" Target="cno/FICHE%20PREPARATION%20NEGO%202026%20-%20NESTLE%20HEALTH%20SCI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LACTALIS.xlsx" TargetMode="External"/><Relationship Id="rId1" Type="http://schemas.openxmlformats.org/officeDocument/2006/relationships/externalLinkPath" Target="cno/FICHE%20PREPARATION%20NEGO%202026%20-%20LACTALI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armagroup365-my.sharepoint.com/personal/pierre-antoine_rouault_healthy-group_fr/Documents/N&#233;gociation%202026%20BIEN%20ETRE%20&amp;%20BEBE%20&amp;%20CNO/FICHES%20NEGOS/CNO/FICHE%20PREPARATION%20NEGO%202026%20-%20NUTRICIA.xlsx" TargetMode="External"/><Relationship Id="rId1" Type="http://schemas.openxmlformats.org/officeDocument/2006/relationships/externalLinkPath" Target="cno/FICHE%20PREPARATION%20NEGO%202026%20-%20NUTRI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PROPAL 26 vs FDB 25"/>
      <sheetName val="MARGE GLOBALE MAX"/>
      <sheetName val="MARGE GLOBALE PALIER CA"/>
      <sheetName val="Etude RFA"/>
      <sheetName val="SYNTHESE"/>
      <sheetName val="DATAS PERF LABO"/>
      <sheetName val="DATAS MARCHE"/>
      <sheetName val="ANALYSE PROPAL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>
        <row r="13">
          <cell r="X13">
            <v>0.39842909249362318</v>
          </cell>
        </row>
      </sheetData>
      <sheetData sheetId="3">
        <row r="15">
          <cell r="X15">
            <v>0.3374260685201404</v>
          </cell>
          <cell r="AW15">
            <v>0.3374260685201404</v>
          </cell>
          <cell r="BV15">
            <v>0.34907754714973754</v>
          </cell>
          <cell r="CU15">
            <v>0.34907754714973754</v>
          </cell>
          <cell r="DT15">
            <v>0.35490328646453623</v>
          </cell>
          <cell r="ES15">
            <v>0.35490328646453623</v>
          </cell>
          <cell r="FR15">
            <v>0.35490328646453623</v>
          </cell>
          <cell r="GQ15">
            <v>0.35490328646453623</v>
          </cell>
          <cell r="HP15">
            <v>0.35490328646453623</v>
          </cell>
          <cell r="IO15">
            <v>0.35490328646453623</v>
          </cell>
          <cell r="JN15">
            <v>0.36655476509413337</v>
          </cell>
          <cell r="KM15">
            <v>0.36655476509413337</v>
          </cell>
          <cell r="LL15">
            <v>0.36655476509413337</v>
          </cell>
        </row>
        <row r="18">
          <cell r="X18">
            <v>0.392770592010727</v>
          </cell>
          <cell r="AW18">
            <v>0.392770592010727</v>
          </cell>
          <cell r="BV18">
            <v>0.4033151801705126</v>
          </cell>
          <cell r="CU18">
            <v>0.4033151801705126</v>
          </cell>
          <cell r="DT18">
            <v>0.40858747425040526</v>
          </cell>
          <cell r="ES18">
            <v>0.40858747425040526</v>
          </cell>
          <cell r="FR18">
            <v>0.40858747425040526</v>
          </cell>
          <cell r="GQ18">
            <v>0.40858747425040526</v>
          </cell>
          <cell r="HP18">
            <v>0.40858747425040526</v>
          </cell>
          <cell r="IO18">
            <v>0.40858747425040526</v>
          </cell>
          <cell r="JN18">
            <v>0.41913206241019074</v>
          </cell>
          <cell r="KM18">
            <v>0.41913206241019074</v>
          </cell>
          <cell r="LL18">
            <v>0.41913206241019074</v>
          </cell>
        </row>
        <row r="51">
          <cell r="X51">
            <v>0.3374260685201404</v>
          </cell>
          <cell r="AW51">
            <v>0.3374260685201404</v>
          </cell>
          <cell r="BV51">
            <v>0.34907754714973754</v>
          </cell>
          <cell r="CU51">
            <v>0.34907754714973754</v>
          </cell>
          <cell r="DT51">
            <v>0.35490328646453623</v>
          </cell>
          <cell r="ES51">
            <v>0.35490328646453623</v>
          </cell>
          <cell r="FR51">
            <v>0.35490328646453623</v>
          </cell>
          <cell r="GQ51">
            <v>0.35490328646453623</v>
          </cell>
          <cell r="HP51">
            <v>0.35490328646453623</v>
          </cell>
          <cell r="IO51">
            <v>0.35490328646453623</v>
          </cell>
          <cell r="JN51">
            <v>0.36655476509413337</v>
          </cell>
          <cell r="KM51">
            <v>0.36655476509413337</v>
          </cell>
          <cell r="LL51">
            <v>0.36655476509413337</v>
          </cell>
        </row>
        <row r="54">
          <cell r="X54">
            <v>0.392770592010727</v>
          </cell>
          <cell r="AW54">
            <v>0.392770592010727</v>
          </cell>
          <cell r="BV54">
            <v>0.4033151801705126</v>
          </cell>
          <cell r="CU54">
            <v>0.4033151801705126</v>
          </cell>
          <cell r="DT54">
            <v>0.40858747425040526</v>
          </cell>
          <cell r="ES54">
            <v>0.40858747425040526</v>
          </cell>
          <cell r="FR54">
            <v>0.40858747425040526</v>
          </cell>
          <cell r="GQ54">
            <v>0.40858747425040526</v>
          </cell>
          <cell r="HP54">
            <v>0.40858747425040526</v>
          </cell>
          <cell r="IO54">
            <v>0.40858747425040526</v>
          </cell>
          <cell r="JN54">
            <v>0.41913206241019074</v>
          </cell>
          <cell r="KM54">
            <v>0.41913206241019074</v>
          </cell>
          <cell r="LL54">
            <v>0.41913206241019074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mail 03112025"/>
      <sheetName val="mail 24112025"/>
      <sheetName val="PROPAL 26 vs FDB 25"/>
      <sheetName val="MARGE GLOBALE MAX"/>
      <sheetName val="MARGE GLOBALE PALIER CA"/>
      <sheetName val="HISTO SYNTHESE"/>
      <sheetName val="DATAS PERF LABO"/>
      <sheetName val="ANALYSE PROPAL"/>
      <sheetName val="DATAS MARCHE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/>
      <sheetData sheetId="3"/>
      <sheetData sheetId="4">
        <row r="13">
          <cell r="R13">
            <v>0.46311923016459627</v>
          </cell>
        </row>
      </sheetData>
      <sheetData sheetId="5">
        <row r="15">
          <cell r="R15">
            <v>0.18930694326778352</v>
          </cell>
          <cell r="AL15">
            <v>0.18930694326778352</v>
          </cell>
          <cell r="BF15">
            <v>0.18930694326778352</v>
          </cell>
          <cell r="BZ15">
            <v>0.25947480022702923</v>
          </cell>
          <cell r="CT15">
            <v>0.29238703132805022</v>
          </cell>
          <cell r="DN15">
            <v>0.32069155007492822</v>
          </cell>
          <cell r="EH15">
            <v>0.37299830071915874</v>
          </cell>
          <cell r="FB15">
            <v>0.38606083612084291</v>
          </cell>
          <cell r="FV15">
            <v>0.40509770941942141</v>
          </cell>
          <cell r="GP15">
            <v>0.41775520496368895</v>
          </cell>
          <cell r="HJ15">
            <v>0.42532501811692386</v>
          </cell>
          <cell r="ID15">
            <v>0.46311923016459627</v>
          </cell>
          <cell r="IX15">
            <v>0.46311923016459627</v>
          </cell>
        </row>
        <row r="18">
          <cell r="R18">
            <v>0.22173466553707222</v>
          </cell>
          <cell r="AL18">
            <v>0.22173466553707222</v>
          </cell>
          <cell r="BF18">
            <v>0.22173466553707222</v>
          </cell>
          <cell r="BZ18">
            <v>0.28909580821794811</v>
          </cell>
          <cell r="CT18">
            <v>0.32069155007492822</v>
          </cell>
          <cell r="DN18">
            <v>0.34786388807193114</v>
          </cell>
          <cell r="EH18">
            <v>0.39807836869039237</v>
          </cell>
          <cell r="FB18">
            <v>0.41061840267600919</v>
          </cell>
          <cell r="FV18">
            <v>0.42889380104264463</v>
          </cell>
          <cell r="GP18">
            <v>0.44104499676514136</v>
          </cell>
          <cell r="HJ18">
            <v>0.44831201739224691</v>
          </cell>
          <cell r="ID18">
            <v>0.48459446095801245</v>
          </cell>
          <cell r="IX18">
            <v>0.48459446095801245</v>
          </cell>
        </row>
        <row r="53">
          <cell r="R53">
            <v>0.17719422247447708</v>
          </cell>
          <cell r="AL53">
            <v>0.17719422247447708</v>
          </cell>
          <cell r="BF53">
            <v>0.17719422247447708</v>
          </cell>
          <cell r="BZ53">
            <v>0.20462108172532784</v>
          </cell>
          <cell r="CT53">
            <v>0.23753331282634865</v>
          </cell>
          <cell r="DN53">
            <v>0.23753331282634865</v>
          </cell>
          <cell r="EH53">
            <v>0.23753331282634865</v>
          </cell>
          <cell r="FB53">
            <v>0.23753331282634865</v>
          </cell>
          <cell r="FV53">
            <v>0.25947480022702923</v>
          </cell>
          <cell r="GP53">
            <v>0.25947480022702923</v>
          </cell>
          <cell r="HJ53">
            <v>0.25947480022702923</v>
          </cell>
          <cell r="ID53">
            <v>0.25947480022702923</v>
          </cell>
          <cell r="IX53">
            <v>0.25947480022702923</v>
          </cell>
        </row>
        <row r="57">
          <cell r="R57">
            <v>0.17719422247447708</v>
          </cell>
          <cell r="AL57">
            <v>0.17719422247447708</v>
          </cell>
          <cell r="BF57">
            <v>0.17719422247447708</v>
          </cell>
          <cell r="BZ57">
            <v>0.20462108172532784</v>
          </cell>
          <cell r="CT57">
            <v>0.23753331282634865</v>
          </cell>
          <cell r="DN57">
            <v>0.23753331282634865</v>
          </cell>
          <cell r="EH57">
            <v>0.23753331282634865</v>
          </cell>
          <cell r="FB57">
            <v>0.23753331282634865</v>
          </cell>
          <cell r="FV57">
            <v>0.25947480022702923</v>
          </cell>
          <cell r="GP57">
            <v>0.25947480022702923</v>
          </cell>
          <cell r="HJ57">
            <v>0.25947480022702923</v>
          </cell>
          <cell r="ID57">
            <v>0.25947480022702923</v>
          </cell>
          <cell r="IX57">
            <v>0.25947480022702923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CHE NEGO"/>
      <sheetName val="Mail 03112025"/>
      <sheetName val="Mail 24112025"/>
      <sheetName val="Mail 04122025"/>
      <sheetName val="COMPIL CA GALLIA + NUTRICIA"/>
      <sheetName val="PROPAL 26 vs FDB 25"/>
      <sheetName val="MARGE GLOBALE MAX"/>
      <sheetName val="MARGE GLOBALE PALIER CA"/>
      <sheetName val="DATAS PERF LABO"/>
      <sheetName val="ANALYSE PROPAL"/>
      <sheetName val="DATAS MARCHE"/>
      <sheetName val="PLAN TRADE APRIUM 2025"/>
      <sheetName val="PLAN TRADE LABO 2025"/>
      <sheetName val="FICHE BOOK 2025"/>
      <sheetName val="FICHE BOOK 2024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R13">
            <v>0.50296661274412613</v>
          </cell>
        </row>
      </sheetData>
      <sheetData sheetId="7">
        <row r="15">
          <cell r="R15">
            <v>0.26590434273387603</v>
          </cell>
          <cell r="AL15">
            <v>0.2805862558791985</v>
          </cell>
          <cell r="BF15">
            <v>0.2805862558791985</v>
          </cell>
          <cell r="BZ15">
            <v>0.34387036426420925</v>
          </cell>
          <cell r="CT15">
            <v>0.34387036426420925</v>
          </cell>
          <cell r="DN15">
            <v>0.34387036426420925</v>
          </cell>
          <cell r="EH15">
            <v>0.34387036426420925</v>
          </cell>
          <cell r="FB15">
            <v>0.34387036426420925</v>
          </cell>
          <cell r="FV15">
            <v>0.42771389736080034</v>
          </cell>
          <cell r="GP15">
            <v>0.42771389736080034</v>
          </cell>
          <cell r="HJ15">
            <v>0.42771389736080034</v>
          </cell>
          <cell r="ID15">
            <v>0.42771389736080034</v>
          </cell>
          <cell r="IX15">
            <v>0.50296661274412613</v>
          </cell>
        </row>
        <row r="18">
          <cell r="R18">
            <v>0.32463199531516596</v>
          </cell>
          <cell r="AL18">
            <v>0.33813935540886264</v>
          </cell>
          <cell r="BF18">
            <v>0.33813935540886264</v>
          </cell>
          <cell r="BZ18">
            <v>0.39636073512307252</v>
          </cell>
          <cell r="CT18">
            <v>0.39636073512307252</v>
          </cell>
          <cell r="DN18">
            <v>0.39636073512307252</v>
          </cell>
          <cell r="EH18">
            <v>0.39636073512307252</v>
          </cell>
          <cell r="FB18">
            <v>0.39636073512307252</v>
          </cell>
          <cell r="FV18">
            <v>0.4734967855719362</v>
          </cell>
          <cell r="GP18">
            <v>0.4734967855719362</v>
          </cell>
          <cell r="HJ18">
            <v>0.4734967855719362</v>
          </cell>
          <cell r="ID18">
            <v>0.4734967855719362</v>
          </cell>
          <cell r="IX18">
            <v>0.54272928372459617</v>
          </cell>
        </row>
        <row r="54">
          <cell r="BZ54">
            <v>0.30741871783444308</v>
          </cell>
          <cell r="CT54">
            <v>0.30741871783444308</v>
          </cell>
          <cell r="DN54">
            <v>0.30741871783444308</v>
          </cell>
          <cell r="EH54">
            <v>0.30741871783444308</v>
          </cell>
          <cell r="FB54">
            <v>0.30741871783444308</v>
          </cell>
          <cell r="FV54">
            <v>0.36652607506604307</v>
          </cell>
          <cell r="GP54">
            <v>0.36652607506604307</v>
          </cell>
          <cell r="HJ54">
            <v>0.36652607506604307</v>
          </cell>
          <cell r="ID54">
            <v>0.36652607506604307</v>
          </cell>
          <cell r="IX54">
            <v>0.42082384006038226</v>
          </cell>
        </row>
        <row r="57">
          <cell r="BZ57">
            <v>0.36282522040768755</v>
          </cell>
          <cell r="CT57">
            <v>0.36282522040768755</v>
          </cell>
          <cell r="DN57">
            <v>0.36282522040768755</v>
          </cell>
          <cell r="EH57">
            <v>0.36282522040768755</v>
          </cell>
          <cell r="FB57">
            <v>0.36282522040768755</v>
          </cell>
          <cell r="FV57">
            <v>0.41720398906075962</v>
          </cell>
          <cell r="GP57">
            <v>0.41720398906075962</v>
          </cell>
          <cell r="HJ57">
            <v>0.41720398906075962</v>
          </cell>
          <cell r="ID57">
            <v>0.41720398906075962</v>
          </cell>
          <cell r="IX57">
            <v>0.46715793285555168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BF54-9B9D-4DB7-9E22-8DA153EAFCFF}">
  <sheetPr>
    <tabColor rgb="FFFF0000"/>
  </sheetPr>
  <dimension ref="A1:N53"/>
  <sheetViews>
    <sheetView showGridLines="0" tabSelected="1" zoomScaleNormal="100" workbookViewId="0">
      <selection activeCell="L5" sqref="L5"/>
    </sheetView>
  </sheetViews>
  <sheetFormatPr baseColWidth="10" defaultRowHeight="15" outlineLevelRow="1" x14ac:dyDescent="0.25"/>
  <cols>
    <col min="1" max="1" width="16" style="3" customWidth="1"/>
    <col min="2" max="2" width="20.85546875" style="4" customWidth="1"/>
    <col min="3" max="3" width="11.85546875" style="1" bestFit="1" customWidth="1"/>
    <col min="4" max="4" width="12.85546875" style="1" bestFit="1" customWidth="1"/>
    <col min="6" max="6" width="16.140625" bestFit="1" customWidth="1"/>
    <col min="7" max="7" width="15.28515625" bestFit="1" customWidth="1"/>
    <col min="8" max="8" width="5.42578125" customWidth="1"/>
    <col min="14" max="14" width="14.7109375" customWidth="1"/>
  </cols>
  <sheetData>
    <row r="1" spans="1:14" ht="14.45" customHeight="1" outlineLevel="1" thickBot="1" x14ac:dyDescent="0.3">
      <c r="A1" s="7" t="s">
        <v>6</v>
      </c>
      <c r="B1" s="10" t="s">
        <v>11</v>
      </c>
      <c r="C1" s="13" t="s">
        <v>12</v>
      </c>
      <c r="D1" s="14" t="s">
        <v>13</v>
      </c>
      <c r="E1" s="13" t="s">
        <v>2</v>
      </c>
      <c r="F1" s="5" t="s">
        <v>0</v>
      </c>
      <c r="G1" s="6" t="s">
        <v>1</v>
      </c>
    </row>
    <row r="2" spans="1:14" outlineLevel="1" x14ac:dyDescent="0.25">
      <c r="A2" s="24" t="s">
        <v>10</v>
      </c>
      <c r="B2" s="25" t="s">
        <v>8</v>
      </c>
      <c r="C2" s="26">
        <v>0</v>
      </c>
      <c r="D2" s="27">
        <v>4000</v>
      </c>
      <c r="E2" s="28">
        <f>'[1]MARGE GLOBALE PALIER CA'!$X$15</f>
        <v>0.3374260685201404</v>
      </c>
      <c r="F2" s="29">
        <f>'[2]MARGE GLOBALE PALIER CA'!$R$15</f>
        <v>0.18930694326778352</v>
      </c>
      <c r="G2" s="30">
        <f>'[3]MARGE GLOBALE PALIER CA'!$R$15</f>
        <v>0.26590434273387603</v>
      </c>
    </row>
    <row r="3" spans="1:14" outlineLevel="1" x14ac:dyDescent="0.25">
      <c r="A3" s="8" t="s">
        <v>10</v>
      </c>
      <c r="B3" s="11" t="s">
        <v>8</v>
      </c>
      <c r="C3" s="15">
        <v>4001</v>
      </c>
      <c r="D3" s="16">
        <v>4999</v>
      </c>
      <c r="E3" s="19">
        <f>'[1]MARGE GLOBALE PALIER CA'!$AW$15</f>
        <v>0.3374260685201404</v>
      </c>
      <c r="F3" s="2">
        <f>'[2]MARGE GLOBALE PALIER CA'!$AL$15</f>
        <v>0.18930694326778352</v>
      </c>
      <c r="G3" s="20">
        <f>'[3]MARGE GLOBALE PALIER CA'!$AL$15</f>
        <v>0.2805862558791985</v>
      </c>
      <c r="K3" t="s">
        <v>5</v>
      </c>
      <c r="L3" t="s">
        <v>10</v>
      </c>
    </row>
    <row r="4" spans="1:14" outlineLevel="1" x14ac:dyDescent="0.25">
      <c r="A4" s="8" t="s">
        <v>10</v>
      </c>
      <c r="B4" s="11" t="s">
        <v>8</v>
      </c>
      <c r="C4" s="15">
        <v>5000</v>
      </c>
      <c r="D4" s="16">
        <v>6999</v>
      </c>
      <c r="E4" s="19">
        <f>'[1]MARGE GLOBALE PALIER CA'!$BV$15</f>
        <v>0.34907754714973754</v>
      </c>
      <c r="F4" s="2">
        <f>'[2]MARGE GLOBALE PALIER CA'!$BF$15</f>
        <v>0.18930694326778352</v>
      </c>
      <c r="G4" s="20">
        <f>'[3]MARGE GLOBALE PALIER CA'!$BF$15</f>
        <v>0.2805862558791985</v>
      </c>
      <c r="K4" t="s">
        <v>14</v>
      </c>
      <c r="L4" t="s">
        <v>8</v>
      </c>
    </row>
    <row r="5" spans="1:14" outlineLevel="1" x14ac:dyDescent="0.25">
      <c r="A5" s="8" t="s">
        <v>10</v>
      </c>
      <c r="B5" s="11" t="s">
        <v>8</v>
      </c>
      <c r="C5" s="15">
        <v>7000</v>
      </c>
      <c r="D5" s="16">
        <v>8999</v>
      </c>
      <c r="E5" s="19">
        <f>'[1]MARGE GLOBALE PALIER CA'!$CU$15</f>
        <v>0.34907754714973754</v>
      </c>
      <c r="F5" s="2">
        <f>'[2]MARGE GLOBALE PALIER CA'!$BZ$15</f>
        <v>0.25947480022702923</v>
      </c>
      <c r="G5" s="20">
        <f>'[3]MARGE GLOBALE PALIER CA'!$BZ$15</f>
        <v>0.34387036426420925</v>
      </c>
      <c r="K5" t="s">
        <v>3</v>
      </c>
    </row>
    <row r="6" spans="1:14" outlineLevel="1" x14ac:dyDescent="0.25">
      <c r="A6" s="8" t="s">
        <v>10</v>
      </c>
      <c r="B6" s="11" t="s">
        <v>8</v>
      </c>
      <c r="C6" s="15">
        <v>9000</v>
      </c>
      <c r="D6" s="16">
        <v>9499</v>
      </c>
      <c r="E6" s="19">
        <f>'[1]MARGE GLOBALE PALIER CA'!$DT$15</f>
        <v>0.35490328646453623</v>
      </c>
      <c r="F6" s="2">
        <f>'[2]MARGE GLOBALE PALIER CA'!$CT$15</f>
        <v>0.29238703132805022</v>
      </c>
      <c r="G6" s="20">
        <f>'[3]MARGE GLOBALE PALIER CA'!$CT$15</f>
        <v>0.34387036426420925</v>
      </c>
    </row>
    <row r="7" spans="1:14" outlineLevel="1" x14ac:dyDescent="0.25">
      <c r="A7" s="8" t="s">
        <v>10</v>
      </c>
      <c r="B7" s="11" t="s">
        <v>8</v>
      </c>
      <c r="C7" s="15">
        <v>9500</v>
      </c>
      <c r="D7" s="16">
        <v>9999</v>
      </c>
      <c r="E7" s="19">
        <f>'[1]MARGE GLOBALE PALIER CA'!$ES$15</f>
        <v>0.35490328646453623</v>
      </c>
      <c r="F7" s="2">
        <f>'[2]MARGE GLOBALE PALIER CA'!$DN$15</f>
        <v>0.32069155007492822</v>
      </c>
      <c r="G7" s="20">
        <f>'[3]MARGE GLOBALE PALIER CA'!$DN$15</f>
        <v>0.34387036426420925</v>
      </c>
    </row>
    <row r="8" spans="1:14" outlineLevel="1" x14ac:dyDescent="0.25">
      <c r="A8" s="8" t="s">
        <v>10</v>
      </c>
      <c r="B8" s="11" t="s">
        <v>8</v>
      </c>
      <c r="C8" s="15">
        <v>10000</v>
      </c>
      <c r="D8" s="16">
        <v>11499</v>
      </c>
      <c r="E8" s="19">
        <f>'[1]MARGE GLOBALE PALIER CA'!$FR$15</f>
        <v>0.35490328646453623</v>
      </c>
      <c r="F8" s="2">
        <f>'[2]MARGE GLOBALE PALIER CA'!$EH$15</f>
        <v>0.37299830071915874</v>
      </c>
      <c r="G8" s="20">
        <f>'[3]MARGE GLOBALE PALIER CA'!$EH$15</f>
        <v>0.34387036426420925</v>
      </c>
    </row>
    <row r="9" spans="1:14" outlineLevel="1" x14ac:dyDescent="0.25">
      <c r="A9" s="8" t="s">
        <v>10</v>
      </c>
      <c r="B9" s="11" t="s">
        <v>8</v>
      </c>
      <c r="C9" s="15">
        <v>11500</v>
      </c>
      <c r="D9" s="16">
        <v>12999</v>
      </c>
      <c r="E9" s="19">
        <f>'[1]MARGE GLOBALE PALIER CA'!$GQ$15</f>
        <v>0.35490328646453623</v>
      </c>
      <c r="F9" s="2">
        <f>'[2]MARGE GLOBALE PALIER CA'!$FB$15</f>
        <v>0.38606083612084291</v>
      </c>
      <c r="G9" s="20">
        <f>'[3]MARGE GLOBALE PALIER CA'!$FB$15</f>
        <v>0.34387036426420925</v>
      </c>
    </row>
    <row r="10" spans="1:14" outlineLevel="1" x14ac:dyDescent="0.25">
      <c r="A10" s="8" t="s">
        <v>10</v>
      </c>
      <c r="B10" s="11" t="s">
        <v>8</v>
      </c>
      <c r="C10" s="15">
        <v>13000</v>
      </c>
      <c r="D10" s="16">
        <v>13999</v>
      </c>
      <c r="E10" s="19">
        <f>'[1]MARGE GLOBALE PALIER CA'!$HP$15</f>
        <v>0.35490328646453623</v>
      </c>
      <c r="F10" s="2">
        <f>'[2]MARGE GLOBALE PALIER CA'!$FV$15</f>
        <v>0.40509770941942141</v>
      </c>
      <c r="G10" s="20">
        <f>'[3]MARGE GLOBALE PALIER CA'!$FV$15</f>
        <v>0.42771389736080034</v>
      </c>
      <c r="N10" s="41"/>
    </row>
    <row r="11" spans="1:14" outlineLevel="1" x14ac:dyDescent="0.25">
      <c r="A11" s="8" t="s">
        <v>10</v>
      </c>
      <c r="B11" s="11" t="s">
        <v>8</v>
      </c>
      <c r="C11" s="15">
        <v>14000</v>
      </c>
      <c r="D11" s="16">
        <v>14999</v>
      </c>
      <c r="E11" s="19">
        <f>'[1]MARGE GLOBALE PALIER CA'!$IO$15</f>
        <v>0.35490328646453623</v>
      </c>
      <c r="F11" s="2">
        <f>'[2]MARGE GLOBALE PALIER CA'!$GP$15</f>
        <v>0.41775520496368895</v>
      </c>
      <c r="G11" s="20">
        <f>'[3]MARGE GLOBALE PALIER CA'!$GP$15</f>
        <v>0.42771389736080034</v>
      </c>
    </row>
    <row r="12" spans="1:14" outlineLevel="1" x14ac:dyDescent="0.25">
      <c r="A12" s="8" t="s">
        <v>10</v>
      </c>
      <c r="B12" s="11" t="s">
        <v>8</v>
      </c>
      <c r="C12" s="15">
        <v>15000</v>
      </c>
      <c r="D12" s="16">
        <v>20999</v>
      </c>
      <c r="E12" s="19">
        <f>'[1]MARGE GLOBALE PALIER CA'!$JN$15</f>
        <v>0.36655476509413337</v>
      </c>
      <c r="F12" s="2">
        <f>'[2]MARGE GLOBALE PALIER CA'!$HJ$15</f>
        <v>0.42532501811692386</v>
      </c>
      <c r="G12" s="20">
        <f>'[3]MARGE GLOBALE PALIER CA'!$HJ$15</f>
        <v>0.42771389736080034</v>
      </c>
    </row>
    <row r="13" spans="1:14" outlineLevel="1" x14ac:dyDescent="0.25">
      <c r="A13" s="8" t="s">
        <v>10</v>
      </c>
      <c r="B13" s="11" t="s">
        <v>8</v>
      </c>
      <c r="C13" s="15">
        <v>21000</v>
      </c>
      <c r="D13" s="16">
        <v>24999</v>
      </c>
      <c r="E13" s="19">
        <f>'[1]MARGE GLOBALE PALIER CA'!$KM$15</f>
        <v>0.36655476509413337</v>
      </c>
      <c r="F13" s="2">
        <f>'[2]MARGE GLOBALE PALIER CA'!$ID$15</f>
        <v>0.46311923016459627</v>
      </c>
      <c r="G13" s="20">
        <f>'[3]MARGE GLOBALE PALIER CA'!$ID$15</f>
        <v>0.42771389736080034</v>
      </c>
    </row>
    <row r="14" spans="1:14" ht="15.75" outlineLevel="1" thickBot="1" x14ac:dyDescent="0.3">
      <c r="A14" s="9" t="s">
        <v>10</v>
      </c>
      <c r="B14" s="12" t="s">
        <v>8</v>
      </c>
      <c r="C14" s="17">
        <v>25000</v>
      </c>
      <c r="D14" s="18">
        <v>100000</v>
      </c>
      <c r="E14" s="21">
        <f>'[1]MARGE GLOBALE PALIER CA'!$LL$15</f>
        <v>0.36655476509413337</v>
      </c>
      <c r="F14" s="22">
        <f>'[2]MARGE GLOBALE PALIER CA'!$IX$15</f>
        <v>0.46311923016459627</v>
      </c>
      <c r="G14" s="23">
        <f>'[3]MARGE GLOBALE PALIER CA'!$IX$15</f>
        <v>0.50296661274412613</v>
      </c>
    </row>
    <row r="15" spans="1:14" outlineLevel="1" x14ac:dyDescent="0.25">
      <c r="A15" s="24" t="s">
        <v>10</v>
      </c>
      <c r="B15" s="25" t="s">
        <v>9</v>
      </c>
      <c r="C15" s="26">
        <v>0</v>
      </c>
      <c r="D15" s="27">
        <v>4000</v>
      </c>
      <c r="E15" s="28">
        <f>'[1]MARGE GLOBALE PALIER CA'!$X$51</f>
        <v>0.3374260685201404</v>
      </c>
      <c r="F15" s="29">
        <f>'[2]MARGE GLOBALE PALIER CA'!$R$53</f>
        <v>0.17719422247447708</v>
      </c>
      <c r="G15" s="30" t="s">
        <v>4</v>
      </c>
    </row>
    <row r="16" spans="1:14" outlineLevel="1" x14ac:dyDescent="0.25">
      <c r="A16" s="8" t="s">
        <v>10</v>
      </c>
      <c r="B16" s="11" t="s">
        <v>9</v>
      </c>
      <c r="C16" s="15">
        <v>4001</v>
      </c>
      <c r="D16" s="16">
        <v>4999</v>
      </c>
      <c r="E16" s="19">
        <f>'[1]MARGE GLOBALE PALIER CA'!$AW$51</f>
        <v>0.3374260685201404</v>
      </c>
      <c r="F16" s="2">
        <f>'[2]MARGE GLOBALE PALIER CA'!$AL$53</f>
        <v>0.17719422247447708</v>
      </c>
      <c r="G16" s="20" t="s">
        <v>4</v>
      </c>
    </row>
    <row r="17" spans="1:7" outlineLevel="1" x14ac:dyDescent="0.25">
      <c r="A17" s="8" t="s">
        <v>10</v>
      </c>
      <c r="B17" s="11" t="s">
        <v>9</v>
      </c>
      <c r="C17" s="15">
        <v>5000</v>
      </c>
      <c r="D17" s="16">
        <v>6999</v>
      </c>
      <c r="E17" s="19">
        <f>'[1]MARGE GLOBALE PALIER CA'!$BV$51</f>
        <v>0.34907754714973754</v>
      </c>
      <c r="F17" s="2">
        <f>'[2]MARGE GLOBALE PALIER CA'!$BF$53</f>
        <v>0.17719422247447708</v>
      </c>
      <c r="G17" s="20" t="s">
        <v>4</v>
      </c>
    </row>
    <row r="18" spans="1:7" outlineLevel="1" x14ac:dyDescent="0.25">
      <c r="A18" s="8" t="s">
        <v>10</v>
      </c>
      <c r="B18" s="11" t="s">
        <v>9</v>
      </c>
      <c r="C18" s="15">
        <v>7000</v>
      </c>
      <c r="D18" s="16">
        <v>8999</v>
      </c>
      <c r="E18" s="19">
        <f>'[1]MARGE GLOBALE PALIER CA'!$CU$51</f>
        <v>0.34907754714973754</v>
      </c>
      <c r="F18" s="2">
        <f>'[2]MARGE GLOBALE PALIER CA'!$BZ$53</f>
        <v>0.20462108172532784</v>
      </c>
      <c r="G18" s="20">
        <f>'[3]MARGE GLOBALE PALIER CA'!$BZ$54</f>
        <v>0.30741871783444308</v>
      </c>
    </row>
    <row r="19" spans="1:7" outlineLevel="1" x14ac:dyDescent="0.25">
      <c r="A19" s="8" t="s">
        <v>10</v>
      </c>
      <c r="B19" s="11" t="s">
        <v>9</v>
      </c>
      <c r="C19" s="15">
        <v>9000</v>
      </c>
      <c r="D19" s="16">
        <v>9499</v>
      </c>
      <c r="E19" s="19">
        <f>'[1]MARGE GLOBALE PALIER CA'!$DT$51</f>
        <v>0.35490328646453623</v>
      </c>
      <c r="F19" s="2">
        <f>'[2]MARGE GLOBALE PALIER CA'!$CT$53</f>
        <v>0.23753331282634865</v>
      </c>
      <c r="G19" s="20">
        <f>'[3]MARGE GLOBALE PALIER CA'!$CT$54</f>
        <v>0.30741871783444308</v>
      </c>
    </row>
    <row r="20" spans="1:7" outlineLevel="1" x14ac:dyDescent="0.25">
      <c r="A20" s="8" t="s">
        <v>10</v>
      </c>
      <c r="B20" s="11" t="s">
        <v>9</v>
      </c>
      <c r="C20" s="15">
        <v>9500</v>
      </c>
      <c r="D20" s="16">
        <v>9999</v>
      </c>
      <c r="E20" s="19">
        <f>'[1]MARGE GLOBALE PALIER CA'!$ES$51</f>
        <v>0.35490328646453623</v>
      </c>
      <c r="F20" s="2">
        <f>'[2]MARGE GLOBALE PALIER CA'!$DN$53</f>
        <v>0.23753331282634865</v>
      </c>
      <c r="G20" s="20">
        <f>'[3]MARGE GLOBALE PALIER CA'!$DN$54</f>
        <v>0.30741871783444308</v>
      </c>
    </row>
    <row r="21" spans="1:7" outlineLevel="1" x14ac:dyDescent="0.25">
      <c r="A21" s="8" t="s">
        <v>10</v>
      </c>
      <c r="B21" s="11" t="s">
        <v>9</v>
      </c>
      <c r="C21" s="15">
        <v>10000</v>
      </c>
      <c r="D21" s="16">
        <v>11499</v>
      </c>
      <c r="E21" s="19">
        <f>'[1]MARGE GLOBALE PALIER CA'!$FR$51</f>
        <v>0.35490328646453623</v>
      </c>
      <c r="F21" s="2">
        <f>'[2]MARGE GLOBALE PALIER CA'!$EH$53</f>
        <v>0.23753331282634865</v>
      </c>
      <c r="G21" s="20">
        <f>'[3]MARGE GLOBALE PALIER CA'!$EH$54</f>
        <v>0.30741871783444308</v>
      </c>
    </row>
    <row r="22" spans="1:7" outlineLevel="1" x14ac:dyDescent="0.25">
      <c r="A22" s="8" t="s">
        <v>10</v>
      </c>
      <c r="B22" s="11" t="s">
        <v>9</v>
      </c>
      <c r="C22" s="15">
        <v>11500</v>
      </c>
      <c r="D22" s="16">
        <v>12999</v>
      </c>
      <c r="E22" s="19">
        <f>'[1]MARGE GLOBALE PALIER CA'!$GQ$51</f>
        <v>0.35490328646453623</v>
      </c>
      <c r="F22" s="2">
        <f>'[2]MARGE GLOBALE PALIER CA'!$FB$53</f>
        <v>0.23753331282634865</v>
      </c>
      <c r="G22" s="20">
        <f>'[3]MARGE GLOBALE PALIER CA'!$FB$54</f>
        <v>0.30741871783444308</v>
      </c>
    </row>
    <row r="23" spans="1:7" outlineLevel="1" x14ac:dyDescent="0.25">
      <c r="A23" s="8" t="s">
        <v>10</v>
      </c>
      <c r="B23" s="11" t="s">
        <v>9</v>
      </c>
      <c r="C23" s="15">
        <v>13000</v>
      </c>
      <c r="D23" s="16">
        <v>13999</v>
      </c>
      <c r="E23" s="19">
        <f>'[1]MARGE GLOBALE PALIER CA'!$HP$51</f>
        <v>0.35490328646453623</v>
      </c>
      <c r="F23" s="2">
        <f>'[2]MARGE GLOBALE PALIER CA'!$FV$53</f>
        <v>0.25947480022702923</v>
      </c>
      <c r="G23" s="20">
        <f>'[3]MARGE GLOBALE PALIER CA'!$FV$54</f>
        <v>0.36652607506604307</v>
      </c>
    </row>
    <row r="24" spans="1:7" outlineLevel="1" x14ac:dyDescent="0.25">
      <c r="A24" s="8" t="s">
        <v>10</v>
      </c>
      <c r="B24" s="11" t="s">
        <v>9</v>
      </c>
      <c r="C24" s="15">
        <v>14000</v>
      </c>
      <c r="D24" s="16">
        <v>14999</v>
      </c>
      <c r="E24" s="19">
        <f>'[1]MARGE GLOBALE PALIER CA'!$IO$51</f>
        <v>0.35490328646453623</v>
      </c>
      <c r="F24" s="2">
        <f>'[2]MARGE GLOBALE PALIER CA'!$GP$53</f>
        <v>0.25947480022702923</v>
      </c>
      <c r="G24" s="20">
        <f>'[3]MARGE GLOBALE PALIER CA'!$GP$54</f>
        <v>0.36652607506604307</v>
      </c>
    </row>
    <row r="25" spans="1:7" outlineLevel="1" x14ac:dyDescent="0.25">
      <c r="A25" s="8" t="s">
        <v>10</v>
      </c>
      <c r="B25" s="11" t="s">
        <v>9</v>
      </c>
      <c r="C25" s="15">
        <v>15000</v>
      </c>
      <c r="D25" s="16">
        <v>20999</v>
      </c>
      <c r="E25" s="19">
        <f>'[1]MARGE GLOBALE PALIER CA'!$JN$51</f>
        <v>0.36655476509413337</v>
      </c>
      <c r="F25" s="2">
        <f>'[2]MARGE GLOBALE PALIER CA'!$HJ$53</f>
        <v>0.25947480022702923</v>
      </c>
      <c r="G25" s="20">
        <f>'[3]MARGE GLOBALE PALIER CA'!$HJ$54</f>
        <v>0.36652607506604307</v>
      </c>
    </row>
    <row r="26" spans="1:7" outlineLevel="1" x14ac:dyDescent="0.25">
      <c r="A26" s="8" t="s">
        <v>10</v>
      </c>
      <c r="B26" s="11" t="s">
        <v>9</v>
      </c>
      <c r="C26" s="15">
        <v>21000</v>
      </c>
      <c r="D26" s="16">
        <v>24999</v>
      </c>
      <c r="E26" s="19">
        <f>'[1]MARGE GLOBALE PALIER CA'!$KM$51</f>
        <v>0.36655476509413337</v>
      </c>
      <c r="F26" s="2">
        <f>'[2]MARGE GLOBALE PALIER CA'!$ID$53</f>
        <v>0.25947480022702923</v>
      </c>
      <c r="G26" s="20">
        <f>'[3]MARGE GLOBALE PALIER CA'!$ID$54</f>
        <v>0.36652607506604307</v>
      </c>
    </row>
    <row r="27" spans="1:7" ht="15.75" outlineLevel="1" thickBot="1" x14ac:dyDescent="0.3">
      <c r="A27" s="9" t="s">
        <v>10</v>
      </c>
      <c r="B27" s="12" t="s">
        <v>9</v>
      </c>
      <c r="C27" s="17">
        <v>25000</v>
      </c>
      <c r="D27" s="18">
        <v>100000</v>
      </c>
      <c r="E27" s="21">
        <f>'[1]MARGE GLOBALE PALIER CA'!$LL$51</f>
        <v>0.36655476509413337</v>
      </c>
      <c r="F27" s="22">
        <f>'[2]MARGE GLOBALE PALIER CA'!$IX$53</f>
        <v>0.25947480022702923</v>
      </c>
      <c r="G27" s="23">
        <f>'[3]MARGE GLOBALE PALIER CA'!$IX$54</f>
        <v>0.42082384006038226</v>
      </c>
    </row>
    <row r="28" spans="1:7" outlineLevel="1" x14ac:dyDescent="0.25">
      <c r="A28" s="24" t="s">
        <v>7</v>
      </c>
      <c r="B28" s="25" t="s">
        <v>8</v>
      </c>
      <c r="C28" s="26">
        <v>0</v>
      </c>
      <c r="D28" s="27">
        <v>4000</v>
      </c>
      <c r="E28" s="28">
        <f>'[1]MARGE GLOBALE PALIER CA'!$X$18</f>
        <v>0.392770592010727</v>
      </c>
      <c r="F28" s="29">
        <f>'[2]MARGE GLOBALE PALIER CA'!$R$18</f>
        <v>0.22173466553707222</v>
      </c>
      <c r="G28" s="30">
        <f>'[3]MARGE GLOBALE PALIER CA'!$R$18</f>
        <v>0.32463199531516596</v>
      </c>
    </row>
    <row r="29" spans="1:7" outlineLevel="1" x14ac:dyDescent="0.25">
      <c r="A29" s="8" t="s">
        <v>7</v>
      </c>
      <c r="B29" s="11" t="s">
        <v>8</v>
      </c>
      <c r="C29" s="15">
        <v>4001</v>
      </c>
      <c r="D29" s="16">
        <v>4999</v>
      </c>
      <c r="E29" s="19">
        <f>'[1]MARGE GLOBALE PALIER CA'!$AW$18</f>
        <v>0.392770592010727</v>
      </c>
      <c r="F29" s="2">
        <f>'[2]MARGE GLOBALE PALIER CA'!$AL$18</f>
        <v>0.22173466553707222</v>
      </c>
      <c r="G29" s="20">
        <f>'[3]MARGE GLOBALE PALIER CA'!$AL$18</f>
        <v>0.33813935540886264</v>
      </c>
    </row>
    <row r="30" spans="1:7" outlineLevel="1" x14ac:dyDescent="0.25">
      <c r="A30" s="8" t="s">
        <v>7</v>
      </c>
      <c r="B30" s="11" t="s">
        <v>8</v>
      </c>
      <c r="C30" s="15">
        <v>5000</v>
      </c>
      <c r="D30" s="16">
        <v>6999</v>
      </c>
      <c r="E30" s="19">
        <f>'[1]MARGE GLOBALE PALIER CA'!$BV$18</f>
        <v>0.4033151801705126</v>
      </c>
      <c r="F30" s="2">
        <f>'[2]MARGE GLOBALE PALIER CA'!$BF$18</f>
        <v>0.22173466553707222</v>
      </c>
      <c r="G30" s="20">
        <f>'[3]MARGE GLOBALE PALIER CA'!$BF$18</f>
        <v>0.33813935540886264</v>
      </c>
    </row>
    <row r="31" spans="1:7" outlineLevel="1" x14ac:dyDescent="0.25">
      <c r="A31" s="8" t="s">
        <v>7</v>
      </c>
      <c r="B31" s="11" t="s">
        <v>8</v>
      </c>
      <c r="C31" s="15">
        <v>7000</v>
      </c>
      <c r="D31" s="16">
        <v>8999</v>
      </c>
      <c r="E31" s="19">
        <f>'[1]MARGE GLOBALE PALIER CA'!$CU$18</f>
        <v>0.4033151801705126</v>
      </c>
      <c r="F31" s="2">
        <f>'[2]MARGE GLOBALE PALIER CA'!$BZ$18</f>
        <v>0.28909580821794811</v>
      </c>
      <c r="G31" s="20">
        <f>'[3]MARGE GLOBALE PALIER CA'!$BZ$18</f>
        <v>0.39636073512307252</v>
      </c>
    </row>
    <row r="32" spans="1:7" outlineLevel="1" x14ac:dyDescent="0.25">
      <c r="A32" s="8" t="s">
        <v>7</v>
      </c>
      <c r="B32" s="11" t="s">
        <v>8</v>
      </c>
      <c r="C32" s="15">
        <v>9000</v>
      </c>
      <c r="D32" s="16">
        <v>9499</v>
      </c>
      <c r="E32" s="19">
        <f>'[1]MARGE GLOBALE PALIER CA'!$DT$18</f>
        <v>0.40858747425040526</v>
      </c>
      <c r="F32" s="2">
        <f>'[2]MARGE GLOBALE PALIER CA'!$CT$18</f>
        <v>0.32069155007492822</v>
      </c>
      <c r="G32" s="20">
        <f>'[3]MARGE GLOBALE PALIER CA'!$CT$18</f>
        <v>0.39636073512307252</v>
      </c>
    </row>
    <row r="33" spans="1:7" outlineLevel="1" x14ac:dyDescent="0.25">
      <c r="A33" s="8" t="s">
        <v>7</v>
      </c>
      <c r="B33" s="11" t="s">
        <v>8</v>
      </c>
      <c r="C33" s="15">
        <v>9500</v>
      </c>
      <c r="D33" s="16">
        <v>9999</v>
      </c>
      <c r="E33" s="19">
        <f>'[1]MARGE GLOBALE PALIER CA'!$ES$18</f>
        <v>0.40858747425040526</v>
      </c>
      <c r="F33" s="2">
        <f>'[2]MARGE GLOBALE PALIER CA'!$DN$18</f>
        <v>0.34786388807193114</v>
      </c>
      <c r="G33" s="20">
        <f>'[3]MARGE GLOBALE PALIER CA'!$DN$18</f>
        <v>0.39636073512307252</v>
      </c>
    </row>
    <row r="34" spans="1:7" outlineLevel="1" x14ac:dyDescent="0.25">
      <c r="A34" s="8" t="s">
        <v>7</v>
      </c>
      <c r="B34" s="11" t="s">
        <v>8</v>
      </c>
      <c r="C34" s="15">
        <v>10000</v>
      </c>
      <c r="D34" s="16">
        <v>11499</v>
      </c>
      <c r="E34" s="19">
        <f>'[1]MARGE GLOBALE PALIER CA'!$FR$18</f>
        <v>0.40858747425040526</v>
      </c>
      <c r="F34" s="2">
        <f>'[2]MARGE GLOBALE PALIER CA'!$EH$18</f>
        <v>0.39807836869039237</v>
      </c>
      <c r="G34" s="20">
        <f>'[3]MARGE GLOBALE PALIER CA'!$EH$18</f>
        <v>0.39636073512307252</v>
      </c>
    </row>
    <row r="35" spans="1:7" outlineLevel="1" x14ac:dyDescent="0.25">
      <c r="A35" s="8" t="s">
        <v>7</v>
      </c>
      <c r="B35" s="11" t="s">
        <v>8</v>
      </c>
      <c r="C35" s="15">
        <v>11500</v>
      </c>
      <c r="D35" s="16">
        <v>12999</v>
      </c>
      <c r="E35" s="19">
        <f>'[1]MARGE GLOBALE PALIER CA'!$GQ$18</f>
        <v>0.40858747425040526</v>
      </c>
      <c r="F35" s="2">
        <f>'[2]MARGE GLOBALE PALIER CA'!$FB$18</f>
        <v>0.41061840267600919</v>
      </c>
      <c r="G35" s="20">
        <f>'[3]MARGE GLOBALE PALIER CA'!$FB$18</f>
        <v>0.39636073512307252</v>
      </c>
    </row>
    <row r="36" spans="1:7" outlineLevel="1" x14ac:dyDescent="0.25">
      <c r="A36" s="8" t="s">
        <v>7</v>
      </c>
      <c r="B36" s="11" t="s">
        <v>8</v>
      </c>
      <c r="C36" s="15">
        <v>13000</v>
      </c>
      <c r="D36" s="16">
        <v>13999</v>
      </c>
      <c r="E36" s="19">
        <f>'[1]MARGE GLOBALE PALIER CA'!$HP$18</f>
        <v>0.40858747425040526</v>
      </c>
      <c r="F36" s="2">
        <f>'[2]MARGE GLOBALE PALIER CA'!$FV$18</f>
        <v>0.42889380104264463</v>
      </c>
      <c r="G36" s="20">
        <f>'[3]MARGE GLOBALE PALIER CA'!$FV$18</f>
        <v>0.4734967855719362</v>
      </c>
    </row>
    <row r="37" spans="1:7" outlineLevel="1" x14ac:dyDescent="0.25">
      <c r="A37" s="8" t="s">
        <v>7</v>
      </c>
      <c r="B37" s="11" t="s">
        <v>8</v>
      </c>
      <c r="C37" s="15">
        <v>14000</v>
      </c>
      <c r="D37" s="16">
        <v>14999</v>
      </c>
      <c r="E37" s="19">
        <f>'[1]MARGE GLOBALE PALIER CA'!$IO$18</f>
        <v>0.40858747425040526</v>
      </c>
      <c r="F37" s="2">
        <f>'[2]MARGE GLOBALE PALIER CA'!$GP$18</f>
        <v>0.44104499676514136</v>
      </c>
      <c r="G37" s="20">
        <f>'[3]MARGE GLOBALE PALIER CA'!$GP$18</f>
        <v>0.4734967855719362</v>
      </c>
    </row>
    <row r="38" spans="1:7" outlineLevel="1" x14ac:dyDescent="0.25">
      <c r="A38" s="8" t="s">
        <v>7</v>
      </c>
      <c r="B38" s="11" t="s">
        <v>8</v>
      </c>
      <c r="C38" s="15">
        <v>15000</v>
      </c>
      <c r="D38" s="16">
        <v>20999</v>
      </c>
      <c r="E38" s="19">
        <f>'[1]MARGE GLOBALE PALIER CA'!$JN$18</f>
        <v>0.41913206241019074</v>
      </c>
      <c r="F38" s="2">
        <f>'[2]MARGE GLOBALE PALIER CA'!$HJ$18</f>
        <v>0.44831201739224691</v>
      </c>
      <c r="G38" s="20">
        <f>'[3]MARGE GLOBALE PALIER CA'!$HJ$18</f>
        <v>0.4734967855719362</v>
      </c>
    </row>
    <row r="39" spans="1:7" outlineLevel="1" x14ac:dyDescent="0.25">
      <c r="A39" s="8" t="s">
        <v>7</v>
      </c>
      <c r="B39" s="11" t="s">
        <v>8</v>
      </c>
      <c r="C39" s="15">
        <v>21000</v>
      </c>
      <c r="D39" s="16">
        <v>24999</v>
      </c>
      <c r="E39" s="19">
        <f>'[1]MARGE GLOBALE PALIER CA'!$KM$18</f>
        <v>0.41913206241019074</v>
      </c>
      <c r="F39" s="2">
        <f>'[2]MARGE GLOBALE PALIER CA'!$ID$18</f>
        <v>0.48459446095801245</v>
      </c>
      <c r="G39" s="20">
        <f>'[3]MARGE GLOBALE PALIER CA'!$ID$18</f>
        <v>0.4734967855719362</v>
      </c>
    </row>
    <row r="40" spans="1:7" ht="15.75" outlineLevel="1" thickBot="1" x14ac:dyDescent="0.3">
      <c r="A40" s="31" t="s">
        <v>7</v>
      </c>
      <c r="B40" s="32" t="s">
        <v>8</v>
      </c>
      <c r="C40" s="33">
        <v>25000</v>
      </c>
      <c r="D40" s="34">
        <v>100000</v>
      </c>
      <c r="E40" s="35">
        <f>'[1]MARGE GLOBALE PALIER CA'!$LL$18</f>
        <v>0.41913206241019074</v>
      </c>
      <c r="F40" s="36">
        <f>'[2]MARGE GLOBALE PALIER CA'!$IX$18</f>
        <v>0.48459446095801245</v>
      </c>
      <c r="G40" s="37">
        <f>'[3]MARGE GLOBALE PALIER CA'!$IX$18</f>
        <v>0.54272928372459617</v>
      </c>
    </row>
    <row r="41" spans="1:7" outlineLevel="1" x14ac:dyDescent="0.25">
      <c r="A41" s="24" t="s">
        <v>7</v>
      </c>
      <c r="B41" s="25" t="s">
        <v>9</v>
      </c>
      <c r="C41" s="26">
        <v>0</v>
      </c>
      <c r="D41" s="38">
        <v>4000</v>
      </c>
      <c r="E41" s="28">
        <f>'[1]MARGE GLOBALE PALIER CA'!$X$54</f>
        <v>0.392770592010727</v>
      </c>
      <c r="F41" s="29">
        <f>'[2]MARGE GLOBALE PALIER CA'!$R$57</f>
        <v>0.17719422247447708</v>
      </c>
      <c r="G41" s="30" t="s">
        <v>4</v>
      </c>
    </row>
    <row r="42" spans="1:7" outlineLevel="1" x14ac:dyDescent="0.25">
      <c r="A42" s="8" t="s">
        <v>7</v>
      </c>
      <c r="B42" s="11" t="s">
        <v>9</v>
      </c>
      <c r="C42" s="15">
        <v>4001</v>
      </c>
      <c r="D42" s="39">
        <v>4999</v>
      </c>
      <c r="E42" s="19">
        <f>'[1]MARGE GLOBALE PALIER CA'!$AW$54</f>
        <v>0.392770592010727</v>
      </c>
      <c r="F42" s="2">
        <f>'[2]MARGE GLOBALE PALIER CA'!$AL$57</f>
        <v>0.17719422247447708</v>
      </c>
      <c r="G42" s="20" t="s">
        <v>4</v>
      </c>
    </row>
    <row r="43" spans="1:7" outlineLevel="1" x14ac:dyDescent="0.25">
      <c r="A43" s="8" t="s">
        <v>7</v>
      </c>
      <c r="B43" s="11" t="s">
        <v>9</v>
      </c>
      <c r="C43" s="15">
        <v>5000</v>
      </c>
      <c r="D43" s="39">
        <v>6999</v>
      </c>
      <c r="E43" s="19">
        <f>'[1]MARGE GLOBALE PALIER CA'!$BV$54</f>
        <v>0.4033151801705126</v>
      </c>
      <c r="F43" s="2">
        <f>'[2]MARGE GLOBALE PALIER CA'!$BF$57</f>
        <v>0.17719422247447708</v>
      </c>
      <c r="G43" s="20" t="s">
        <v>4</v>
      </c>
    </row>
    <row r="44" spans="1:7" outlineLevel="1" x14ac:dyDescent="0.25">
      <c r="A44" s="8" t="s">
        <v>7</v>
      </c>
      <c r="B44" s="11" t="s">
        <v>9</v>
      </c>
      <c r="C44" s="15">
        <v>7000</v>
      </c>
      <c r="D44" s="39">
        <v>8999</v>
      </c>
      <c r="E44" s="19">
        <f>'[1]MARGE GLOBALE PALIER CA'!$CU$54</f>
        <v>0.4033151801705126</v>
      </c>
      <c r="F44" s="2">
        <f>'[2]MARGE GLOBALE PALIER CA'!$BZ$57</f>
        <v>0.20462108172532784</v>
      </c>
      <c r="G44" s="20">
        <f>'[3]MARGE GLOBALE PALIER CA'!$BZ$57</f>
        <v>0.36282522040768755</v>
      </c>
    </row>
    <row r="45" spans="1:7" outlineLevel="1" x14ac:dyDescent="0.25">
      <c r="A45" s="8" t="s">
        <v>7</v>
      </c>
      <c r="B45" s="11" t="s">
        <v>9</v>
      </c>
      <c r="C45" s="15">
        <v>9000</v>
      </c>
      <c r="D45" s="39">
        <v>9499</v>
      </c>
      <c r="E45" s="19">
        <f>'[1]MARGE GLOBALE PALIER CA'!$DT$54</f>
        <v>0.40858747425040526</v>
      </c>
      <c r="F45" s="2">
        <f>'[2]MARGE GLOBALE PALIER CA'!$CT$57</f>
        <v>0.23753331282634865</v>
      </c>
      <c r="G45" s="20">
        <f>'[3]MARGE GLOBALE PALIER CA'!$CT$57</f>
        <v>0.36282522040768755</v>
      </c>
    </row>
    <row r="46" spans="1:7" outlineLevel="1" x14ac:dyDescent="0.25">
      <c r="A46" s="8" t="s">
        <v>7</v>
      </c>
      <c r="B46" s="11" t="s">
        <v>9</v>
      </c>
      <c r="C46" s="15">
        <v>9500</v>
      </c>
      <c r="D46" s="39">
        <v>9999</v>
      </c>
      <c r="E46" s="19">
        <f>'[1]MARGE GLOBALE PALIER CA'!$ES$54</f>
        <v>0.40858747425040526</v>
      </c>
      <c r="F46" s="2">
        <f>'[2]MARGE GLOBALE PALIER CA'!$DN$57</f>
        <v>0.23753331282634865</v>
      </c>
      <c r="G46" s="20">
        <f>'[3]MARGE GLOBALE PALIER CA'!$DN$57</f>
        <v>0.36282522040768755</v>
      </c>
    </row>
    <row r="47" spans="1:7" outlineLevel="1" x14ac:dyDescent="0.25">
      <c r="A47" s="8" t="s">
        <v>7</v>
      </c>
      <c r="B47" s="11" t="s">
        <v>9</v>
      </c>
      <c r="C47" s="15">
        <v>10000</v>
      </c>
      <c r="D47" s="39">
        <v>11499</v>
      </c>
      <c r="E47" s="19">
        <f>'[1]MARGE GLOBALE PALIER CA'!$FR$54</f>
        <v>0.40858747425040526</v>
      </c>
      <c r="F47" s="2">
        <f>'[2]MARGE GLOBALE PALIER CA'!$EH$57</f>
        <v>0.23753331282634865</v>
      </c>
      <c r="G47" s="20">
        <f>'[3]MARGE GLOBALE PALIER CA'!$EH$57</f>
        <v>0.36282522040768755</v>
      </c>
    </row>
    <row r="48" spans="1:7" outlineLevel="1" x14ac:dyDescent="0.25">
      <c r="A48" s="8" t="s">
        <v>7</v>
      </c>
      <c r="B48" s="11" t="s">
        <v>9</v>
      </c>
      <c r="C48" s="15">
        <v>11500</v>
      </c>
      <c r="D48" s="39">
        <v>12999</v>
      </c>
      <c r="E48" s="19">
        <f>'[1]MARGE GLOBALE PALIER CA'!$GQ$54</f>
        <v>0.40858747425040526</v>
      </c>
      <c r="F48" s="2">
        <f>'[2]MARGE GLOBALE PALIER CA'!$FB$57</f>
        <v>0.23753331282634865</v>
      </c>
      <c r="G48" s="20">
        <f>'[3]MARGE GLOBALE PALIER CA'!$FB$57</f>
        <v>0.36282522040768755</v>
      </c>
    </row>
    <row r="49" spans="1:7" outlineLevel="1" x14ac:dyDescent="0.25">
      <c r="A49" s="8" t="s">
        <v>7</v>
      </c>
      <c r="B49" s="11" t="s">
        <v>9</v>
      </c>
      <c r="C49" s="15">
        <v>13000</v>
      </c>
      <c r="D49" s="39">
        <v>13999</v>
      </c>
      <c r="E49" s="19">
        <f>'[1]MARGE GLOBALE PALIER CA'!$HP$54</f>
        <v>0.40858747425040526</v>
      </c>
      <c r="F49" s="2">
        <f>'[2]MARGE GLOBALE PALIER CA'!$FV$57</f>
        <v>0.25947480022702923</v>
      </c>
      <c r="G49" s="20">
        <f>'[3]MARGE GLOBALE PALIER CA'!$FV$57</f>
        <v>0.41720398906075962</v>
      </c>
    </row>
    <row r="50" spans="1:7" outlineLevel="1" x14ac:dyDescent="0.25">
      <c r="A50" s="8" t="s">
        <v>7</v>
      </c>
      <c r="B50" s="11" t="s">
        <v>9</v>
      </c>
      <c r="C50" s="15">
        <v>14000</v>
      </c>
      <c r="D50" s="39">
        <v>14999</v>
      </c>
      <c r="E50" s="19">
        <f>'[1]MARGE GLOBALE PALIER CA'!$IO$54</f>
        <v>0.40858747425040526</v>
      </c>
      <c r="F50" s="2">
        <f>'[2]MARGE GLOBALE PALIER CA'!$GP$57</f>
        <v>0.25947480022702923</v>
      </c>
      <c r="G50" s="20">
        <f>'[3]MARGE GLOBALE PALIER CA'!$GP$57</f>
        <v>0.41720398906075962</v>
      </c>
    </row>
    <row r="51" spans="1:7" outlineLevel="1" x14ac:dyDescent="0.25">
      <c r="A51" s="8" t="s">
        <v>7</v>
      </c>
      <c r="B51" s="11" t="s">
        <v>9</v>
      </c>
      <c r="C51" s="15">
        <v>15000</v>
      </c>
      <c r="D51" s="39">
        <v>20999</v>
      </c>
      <c r="E51" s="19">
        <f>'[1]MARGE GLOBALE PALIER CA'!$JN$54</f>
        <v>0.41913206241019074</v>
      </c>
      <c r="F51" s="2">
        <f>'[2]MARGE GLOBALE PALIER CA'!$HJ$57</f>
        <v>0.25947480022702923</v>
      </c>
      <c r="G51" s="20">
        <f>'[3]MARGE GLOBALE PALIER CA'!$HJ$57</f>
        <v>0.41720398906075962</v>
      </c>
    </row>
    <row r="52" spans="1:7" outlineLevel="1" x14ac:dyDescent="0.25">
      <c r="A52" s="8" t="s">
        <v>7</v>
      </c>
      <c r="B52" s="11" t="s">
        <v>9</v>
      </c>
      <c r="C52" s="15">
        <v>21000</v>
      </c>
      <c r="D52" s="39">
        <v>24999</v>
      </c>
      <c r="E52" s="19">
        <f>'[1]MARGE GLOBALE PALIER CA'!$KM$54</f>
        <v>0.41913206241019074</v>
      </c>
      <c r="F52" s="2">
        <f>'[2]MARGE GLOBALE PALIER CA'!$ID$57</f>
        <v>0.25947480022702923</v>
      </c>
      <c r="G52" s="20">
        <f>'[3]MARGE GLOBALE PALIER CA'!$ID$57</f>
        <v>0.41720398906075962</v>
      </c>
    </row>
    <row r="53" spans="1:7" ht="15.75" outlineLevel="1" thickBot="1" x14ac:dyDescent="0.3">
      <c r="A53" s="9" t="s">
        <v>7</v>
      </c>
      <c r="B53" s="12" t="s">
        <v>9</v>
      </c>
      <c r="C53" s="17">
        <v>25000</v>
      </c>
      <c r="D53" s="40">
        <v>100000</v>
      </c>
      <c r="E53" s="21">
        <f>'[1]MARGE GLOBALE PALIER CA'!$LL$54</f>
        <v>0.41913206241019074</v>
      </c>
      <c r="F53" s="22">
        <f>'[2]MARGE GLOBALE PALIER CA'!$IX$57</f>
        <v>0.25947480022702923</v>
      </c>
      <c r="G53" s="23">
        <f>'[3]MARGE GLOBALE PALIER CA'!$IX$57</f>
        <v>0.46715793285555168</v>
      </c>
    </row>
  </sheetData>
  <conditionalFormatting sqref="E2:G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G3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G4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G5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G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G7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G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G9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:G1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:G11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:G1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G13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G14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G15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G16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:G17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G18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G19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0:G20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G21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2:G22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3:G23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G24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G25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G26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7:G27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8:G28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G29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G30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G31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G32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G33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G34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5:G35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G36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G37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G38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9:G39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0:G40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1:G41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2:G42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:G4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4:G44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G45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6:G46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:G47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:G48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G49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0:G50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1:G51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2:G52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3:G53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3">
    <dataValidation type="list" allowBlank="1" showInputMessage="1" showErrorMessage="1" sqref="N8 L3" xr:uid="{F671A2AF-C922-4436-A62D-DD97E1E61956}">
      <formula1>$A$27:$A$28</formula1>
    </dataValidation>
    <dataValidation type="list" allowBlank="1" showInputMessage="1" showErrorMessage="1" sqref="N9" xr:uid="{0051FB2C-3A4D-4F23-8E9A-7C129E598F71}">
      <formula1>$B$40:$B$41</formula1>
    </dataValidation>
    <dataValidation type="list" allowBlank="1" showInputMessage="1" showErrorMessage="1" sqref="L4" xr:uid="{66456879-67F4-4137-B6BC-BC4400F74825}">
      <formula1>$B$27:$B$28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D35B-8415-4A05-9DE9-5246F2488DEA}">
  <sheetPr>
    <tabColor theme="0"/>
  </sheetPr>
  <dimension ref="A1"/>
  <sheetViews>
    <sheetView showGridLines="0" workbookViewId="0">
      <selection activeCell="F18" sqref="F1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MARGE PAR CLUSTERS CA</vt:lpstr>
      <vt:lpstr>SIMU PARTEN REEL + NON RETENU</vt:lpstr>
    </vt:vector>
  </TitlesOfParts>
  <Company>Healthy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Pierre-Antoine ROUAULT</dc:creator>
  <cp:lastModifiedBy>abscheidt gonzague</cp:lastModifiedBy>
  <dcterms:created xsi:type="dcterms:W3CDTF">2025-12-19T10:38:38Z</dcterms:created>
  <dcterms:modified xsi:type="dcterms:W3CDTF">2026-01-10T15:30:24Z</dcterms:modified>
</cp:coreProperties>
</file>