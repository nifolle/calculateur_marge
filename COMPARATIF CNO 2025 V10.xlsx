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acie\Desktop\"/>
    </mc:Choice>
  </mc:AlternateContent>
  <xr:revisionPtr revIDLastSave="0" documentId="13_ncr:1_{1082C326-E1ED-495A-AF04-45C6318F8472}" xr6:coauthVersionLast="47" xr6:coauthVersionMax="47" xr10:uidLastSave="{00000000-0000-0000-0000-000000000000}"/>
  <bookViews>
    <workbookView xWindow="22395" yWindow="555" windowWidth="40530" windowHeight="20325" xr2:uid="{BB4B3BB7-3A90-4545-B925-23208399CFDA}"/>
  </bookViews>
  <sheets>
    <sheet name="MARGE PAR CLUSTERS CA" sheetId="6" r:id="rId1"/>
    <sheet name="SIMU PARTEN REEL + NON RETENU" sheetId="4" state="hidden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M51" i="6" l="1"/>
  <c r="M20" i="6"/>
  <c r="F51" i="6"/>
  <c r="F20" i="6"/>
  <c r="M50" i="6"/>
  <c r="M19" i="6"/>
  <c r="F50" i="6"/>
  <c r="F19" i="6"/>
  <c r="M49" i="6"/>
  <c r="M18" i="6"/>
  <c r="F49" i="6"/>
  <c r="F18" i="6"/>
  <c r="M52" i="6"/>
  <c r="M46" i="6" l="1"/>
  <c r="M15" i="6"/>
  <c r="F46" i="6"/>
  <c r="F15" i="6"/>
  <c r="M45" i="6"/>
  <c r="M14" i="6"/>
  <c r="F45" i="6"/>
  <c r="F14" i="6"/>
  <c r="M44" i="6"/>
  <c r="M13" i="6"/>
  <c r="F44" i="6"/>
  <c r="F13" i="6"/>
  <c r="M43" i="6"/>
  <c r="M12" i="6"/>
  <c r="F43" i="6"/>
  <c r="F12" i="6"/>
  <c r="M42" i="6"/>
  <c r="M11" i="6"/>
  <c r="F42" i="6"/>
  <c r="F11" i="6"/>
  <c r="M41" i="6"/>
  <c r="M10" i="6"/>
  <c r="F41" i="6"/>
  <c r="F10" i="6"/>
  <c r="M40" i="6"/>
  <c r="M9" i="6"/>
  <c r="F40" i="6"/>
  <c r="F9" i="6"/>
  <c r="M39" i="6"/>
  <c r="M8" i="6"/>
  <c r="F39" i="6"/>
  <c r="F8" i="6"/>
  <c r="M38" i="6"/>
  <c r="M7" i="6"/>
  <c r="F38" i="6"/>
  <c r="F7" i="6"/>
  <c r="M37" i="6"/>
  <c r="M6" i="6"/>
  <c r="F37" i="6"/>
  <c r="F6" i="6"/>
  <c r="M36" i="6"/>
  <c r="M5" i="6"/>
  <c r="F36" i="6"/>
  <c r="F5" i="6"/>
  <c r="M35" i="6"/>
  <c r="M4" i="6"/>
  <c r="F35" i="6"/>
  <c r="F4" i="6"/>
  <c r="M34" i="6"/>
  <c r="M3" i="6"/>
  <c r="F34" i="6"/>
  <c r="M61" i="6"/>
  <c r="M30" i="6"/>
  <c r="F61" i="6"/>
  <c r="F30" i="6"/>
  <c r="M60" i="6"/>
  <c r="M29" i="6"/>
  <c r="F60" i="6"/>
  <c r="F29" i="6"/>
  <c r="M59" i="6"/>
  <c r="M28" i="6"/>
  <c r="F59" i="6"/>
  <c r="F28" i="6"/>
  <c r="M58" i="6"/>
  <c r="M27" i="6"/>
  <c r="F58" i="6"/>
  <c r="F27" i="6"/>
  <c r="M57" i="6"/>
  <c r="M26" i="6"/>
  <c r="F57" i="6"/>
  <c r="F26" i="6"/>
  <c r="M56" i="6"/>
  <c r="M25" i="6"/>
  <c r="F56" i="6"/>
  <c r="F25" i="6"/>
  <c r="M55" i="6"/>
  <c r="M24" i="6"/>
  <c r="F55" i="6"/>
  <c r="F24" i="6"/>
  <c r="M54" i="6"/>
  <c r="M23" i="6"/>
  <c r="F54" i="6"/>
  <c r="F23" i="6"/>
  <c r="M53" i="6"/>
  <c r="M22" i="6"/>
  <c r="F53" i="6"/>
  <c r="F22" i="6"/>
  <c r="M21" i="6"/>
  <c r="F52" i="6"/>
  <c r="F21" i="6"/>
  <c r="L61" i="6"/>
  <c r="L30" i="6"/>
  <c r="E61" i="6"/>
  <c r="E30" i="6"/>
  <c r="L60" i="6"/>
  <c r="L29" i="6"/>
  <c r="E60" i="6"/>
  <c r="E29" i="6"/>
  <c r="L59" i="6"/>
  <c r="L28" i="6"/>
  <c r="E59" i="6"/>
  <c r="E28" i="6"/>
  <c r="L58" i="6"/>
  <c r="L27" i="6"/>
  <c r="E58" i="6"/>
  <c r="E27" i="6"/>
  <c r="L57" i="6"/>
  <c r="L26" i="6"/>
  <c r="E57" i="6"/>
  <c r="E26" i="6"/>
  <c r="L56" i="6"/>
  <c r="L25" i="6"/>
  <c r="E56" i="6"/>
  <c r="E25" i="6"/>
  <c r="L55" i="6"/>
  <c r="L24" i="6"/>
  <c r="E55" i="6"/>
  <c r="E24" i="6"/>
  <c r="L54" i="6"/>
  <c r="L23" i="6"/>
  <c r="E54" i="6"/>
  <c r="E23" i="6"/>
  <c r="L53" i="6"/>
  <c r="L22" i="6"/>
  <c r="E53" i="6"/>
  <c r="E22" i="6"/>
  <c r="L52" i="6"/>
  <c r="L21" i="6"/>
  <c r="E52" i="6"/>
  <c r="E21" i="6"/>
  <c r="L51" i="6"/>
  <c r="L20" i="6"/>
  <c r="E51" i="6"/>
  <c r="E20" i="6"/>
  <c r="L50" i="6"/>
  <c r="L19" i="6"/>
  <c r="E50" i="6"/>
  <c r="E19" i="6"/>
  <c r="L49" i="6"/>
  <c r="L18" i="6"/>
  <c r="E49" i="6"/>
  <c r="E18" i="6"/>
  <c r="E11" i="6" l="1"/>
  <c r="E14" i="6"/>
  <c r="E10" i="6"/>
  <c r="L10" i="6"/>
  <c r="L15" i="6"/>
  <c r="E15" i="6"/>
  <c r="L14" i="6"/>
  <c r="L13" i="6"/>
  <c r="E13" i="6"/>
  <c r="L12" i="6"/>
  <c r="E12" i="6"/>
  <c r="L11" i="6"/>
  <c r="L9" i="6"/>
  <c r="E9" i="6"/>
  <c r="L8" i="6"/>
  <c r="E8" i="6"/>
  <c r="E7" i="6"/>
  <c r="L7" i="6"/>
  <c r="E6" i="6"/>
  <c r="L6" i="6"/>
  <c r="E5" i="6"/>
  <c r="L5" i="6"/>
  <c r="L4" i="6"/>
  <c r="E4" i="6"/>
  <c r="L45" i="6" l="1"/>
  <c r="E44" i="6"/>
  <c r="E45" i="6"/>
  <c r="E40" i="6"/>
  <c r="E39" i="6"/>
  <c r="L42" i="6"/>
  <c r="L43" i="6"/>
  <c r="L46" i="6"/>
  <c r="L44" i="6"/>
  <c r="E46" i="6"/>
  <c r="E43" i="6"/>
  <c r="E42" i="6"/>
  <c r="E41" i="6"/>
  <c r="L41" i="6"/>
  <c r="L40" i="6"/>
  <c r="L39" i="6"/>
  <c r="L38" i="6"/>
  <c r="E38" i="6"/>
  <c r="E37" i="6"/>
  <c r="L37" i="6"/>
  <c r="E36" i="6"/>
  <c r="L36" i="6"/>
  <c r="L35" i="6"/>
  <c r="E35" i="6"/>
  <c r="L3" i="6"/>
  <c r="E3" i="6"/>
  <c r="L34" i="6" l="1"/>
  <c r="E34" i="6"/>
  <c r="G14" i="6" l="1"/>
  <c r="G45" i="6"/>
  <c r="N14" i="6"/>
  <c r="N45" i="6"/>
  <c r="N9" i="6"/>
  <c r="G9" i="6"/>
  <c r="N40" i="6"/>
  <c r="G40" i="6"/>
  <c r="G6" i="6"/>
  <c r="N6" i="6"/>
  <c r="N37" i="6"/>
  <c r="G37" i="6"/>
  <c r="G13" i="6"/>
  <c r="N13" i="6"/>
  <c r="N44" i="6"/>
  <c r="G44" i="6"/>
  <c r="G12" i="6"/>
  <c r="N12" i="6"/>
  <c r="G43" i="6"/>
  <c r="N43" i="6"/>
  <c r="N5" i="6"/>
  <c r="G5" i="6"/>
  <c r="N36" i="6"/>
  <c r="G36" i="6"/>
  <c r="N15" i="6"/>
  <c r="G15" i="6"/>
  <c r="N46" i="6"/>
  <c r="G46" i="6"/>
  <c r="N10" i="6"/>
  <c r="G10" i="6"/>
  <c r="G41" i="6"/>
  <c r="N41" i="6"/>
  <c r="N7" i="6"/>
  <c r="G7" i="6"/>
  <c r="G38" i="6"/>
  <c r="N38" i="6"/>
  <c r="N11" i="6"/>
  <c r="G11" i="6"/>
  <c r="G42" i="6"/>
  <c r="N42" i="6"/>
  <c r="N4" i="6"/>
  <c r="G4" i="6"/>
  <c r="G35" i="6"/>
  <c r="N35" i="6"/>
  <c r="G8" i="6"/>
  <c r="N8" i="6"/>
  <c r="N39" i="6"/>
  <c r="G39" i="6"/>
  <c r="N3" i="6"/>
  <c r="G3" i="6"/>
  <c r="N29" i="6" l="1"/>
  <c r="G60" i="6"/>
  <c r="G29" i="6"/>
  <c r="N60" i="6"/>
  <c r="G21" i="6"/>
  <c r="N21" i="6"/>
  <c r="N52" i="6"/>
  <c r="G52" i="6"/>
  <c r="G22" i="6"/>
  <c r="N22" i="6"/>
  <c r="N53" i="6"/>
  <c r="G53" i="6"/>
  <c r="N54" i="6"/>
  <c r="G23" i="6"/>
  <c r="N23" i="6"/>
  <c r="G54" i="6"/>
  <c r="G57" i="6"/>
  <c r="N26" i="6"/>
  <c r="G26" i="6"/>
  <c r="N57" i="6"/>
  <c r="G24" i="6"/>
  <c r="G55" i="6"/>
  <c r="N24" i="6"/>
  <c r="N55" i="6"/>
  <c r="N20" i="6"/>
  <c r="N51" i="6"/>
  <c r="G61" i="6"/>
  <c r="N30" i="6"/>
  <c r="G30" i="6"/>
  <c r="N61" i="6"/>
  <c r="N50" i="6"/>
  <c r="N19" i="6"/>
  <c r="G28" i="6"/>
  <c r="N28" i="6"/>
  <c r="N59" i="6"/>
  <c r="G59" i="6"/>
  <c r="N56" i="6"/>
  <c r="N25" i="6"/>
  <c r="G25" i="6"/>
  <c r="G56" i="6"/>
  <c r="N27" i="6"/>
  <c r="N58" i="6"/>
  <c r="G27" i="6"/>
  <c r="G58" i="6"/>
  <c r="N34" i="6"/>
  <c r="G34" i="6"/>
  <c r="N18" i="6"/>
  <c r="N49" i="6"/>
</calcChain>
</file>

<file path=xl/sharedStrings.xml><?xml version="1.0" encoding="utf-8"?>
<sst xmlns="http://schemas.openxmlformats.org/spreadsheetml/2006/main" count="165" uniqueCount="34">
  <si>
    <t>LACTALIS</t>
  </si>
  <si>
    <t>NUTRICIA</t>
  </si>
  <si>
    <t>NESTLE</t>
  </si>
  <si>
    <t>CA</t>
  </si>
  <si>
    <t>DIRECT 2026
APRIUM</t>
  </si>
  <si>
    <t>OCP 2026 APRIUM</t>
  </si>
  <si>
    <t>DIRECT 2025
APRIUM</t>
  </si>
  <si>
    <t>OCP 2025 APRIUM</t>
  </si>
  <si>
    <t>DIRECT 2025
UM &amp; MONGE</t>
  </si>
  <si>
    <t>DIRECT 2026
UM &amp; MONGE</t>
  </si>
  <si>
    <t>OCP 2026 UM &amp; MONGE</t>
  </si>
  <si>
    <t>OCP 2025 UM &amp; MONGE</t>
  </si>
  <si>
    <t>CA inférieur à 4 000€</t>
  </si>
  <si>
    <t>CA entre 4 001€ et 4 999€</t>
  </si>
  <si>
    <t>CA entre 5 000€ et 6 999€</t>
  </si>
  <si>
    <t>CA entre 7 000€ et 8 999€</t>
  </si>
  <si>
    <t>CA entre 9 000€ et 9 499€</t>
  </si>
  <si>
    <t>CA entre 9 500€ et 9 999€</t>
  </si>
  <si>
    <t>CA entre 10 000€ et 11 499€</t>
  </si>
  <si>
    <t>CA entre 11 500€ et 12 999€</t>
  </si>
  <si>
    <t>CA entre 13 000€ et 13 999€</t>
  </si>
  <si>
    <t>CA entre 14 000€ et 14 999€</t>
  </si>
  <si>
    <t>CA entre 15 000€ et 20 999€</t>
  </si>
  <si>
    <t>CA entre 21 000€ et 24 999€</t>
  </si>
  <si>
    <t>CA supérieur à 25 000€</t>
  </si>
  <si>
    <t>à partir de 21 000€</t>
  </si>
  <si>
    <t>à partir de 15 000€</t>
  </si>
  <si>
    <t>à partir de 10 000€</t>
  </si>
  <si>
    <t>à partir de 13 000€ : 6,25% d'UG</t>
  </si>
  <si>
    <t>à partir de 25 000€ : 12,50% d'UG</t>
  </si>
  <si>
    <t>même logique appliquée à 2025</t>
  </si>
  <si>
    <t>NON ELIGIBLE</t>
  </si>
  <si>
    <t>pour ouvrir le flux grossiste OCP =&gt;obligation d'ouvrir un marché à 6 800€ en 2026 et 6 500€ en 2025</t>
  </si>
  <si>
    <t>Nb pharmacie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</si>
</sst>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1809750</xdr:colOff>
      <xdr:row>65</xdr:row>
      <xdr:rowOff>66675</xdr:rowOff>
    </xdr:from>
    <xdr:to>
      <xdr:col>7</xdr:col>
      <xdr:colOff>47141</xdr:colOff>
      <xdr:row>73</xdr:row>
      <xdr:rowOff>49531</xdr:rowOff>
    </xdr:to>
    <xdr:pic>
      <xdr:nvPicPr>
        <xdr:cNvPr id="2" name="table" descr="Une image contenant texte, capture d’écran, Police&#10;&#10;Description générée automatiquement">
          <a:extLst>
            <a:ext uri="{FF2B5EF4-FFF2-40B4-BE49-F238E27FC236}">
              <a16:creationId xmlns:a16="http://schemas.microsoft.com/office/drawing/2014/main" id="{F56AA2C0-6E72-44D8-AA2B-B298A907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975" y="11830050"/>
          <a:ext cx="3288665" cy="1427480"/>
        </a:xfrm>
        <a:prstGeom prst="rect">
          <a:avLst/>
        </a:prstGeom>
      </xdr:spPr>
    </xdr:pic>
    <xdr:clientData/>
  </xdr:twoCellAnchor>
  <xdr:twoCellAnchor editAs="oneCell">
    <xdr:from>
      <xdr:col>11</xdr:col>
      <xdr:colOff>542634</xdr:colOff>
      <xdr:row>63</xdr:row>
      <xdr:rowOff>86178</xdr:rowOff>
    </xdr:from>
    <xdr:to>
      <xdr:col>15</xdr:col>
      <xdr:colOff>540131</xdr:colOff>
      <xdr:row>73</xdr:row>
      <xdr:rowOff>73597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87AE6D9-E43A-0A98-123C-E45C73D30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7170" y="11230428"/>
          <a:ext cx="3455072" cy="17563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NESTLE%20HEALTH%20SCIENCE.xlsx" TargetMode="External"/><Relationship Id="rId1" Type="http://schemas.openxmlformats.org/officeDocument/2006/relationships/externalLinkPath" Target="cno/FICHE%20PREPARATION%20NEGO%202026%20-%20NESTLE%20HEALTH%20SCI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LACTALIS.xlsx" TargetMode="External"/><Relationship Id="rId1" Type="http://schemas.openxmlformats.org/officeDocument/2006/relationships/externalLinkPath" Target="cno/FICHE%20PREPARATION%20NEGO%202026%20-%20LACTALI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NUTRICIA.xlsx" TargetMode="External"/><Relationship Id="rId1" Type="http://schemas.openxmlformats.org/officeDocument/2006/relationships/externalLinkPath" Target="cno/FICHE%20PREPARATION%20NEGO%202026%20-%20NUTRI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PROPAL 26 vs FDB 25"/>
      <sheetName val="MARGE GLOBALE MAX"/>
      <sheetName val="MARGE GLOBALE PALIER CA"/>
      <sheetName val="Etude RFA"/>
      <sheetName val="SYNTHESE"/>
      <sheetName val="DATAS PERF LABO"/>
      <sheetName val="DATAS MARCHE"/>
      <sheetName val="ANALYSE PROPAL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>
        <row r="13">
          <cell r="X13">
            <v>0.39842909249362318</v>
          </cell>
        </row>
      </sheetData>
      <sheetData sheetId="3">
        <row r="15">
          <cell r="X15">
            <v>0.3374260685201404</v>
          </cell>
          <cell r="AW15">
            <v>0.3374260685201404</v>
          </cell>
          <cell r="BV15">
            <v>0.34907754714973754</v>
          </cell>
          <cell r="CU15">
            <v>0.34907754714973754</v>
          </cell>
          <cell r="DT15">
            <v>0.35490328646453623</v>
          </cell>
          <cell r="ES15">
            <v>0.35490328646453623</v>
          </cell>
          <cell r="FR15">
            <v>0.35490328646453623</v>
          </cell>
          <cell r="GQ15">
            <v>0.35490328646453623</v>
          </cell>
          <cell r="HP15">
            <v>0.35490328646453623</v>
          </cell>
          <cell r="IO15">
            <v>0.35490328646453623</v>
          </cell>
          <cell r="JN15">
            <v>0.36655476509413337</v>
          </cell>
          <cell r="KM15">
            <v>0.36655476509413337</v>
          </cell>
          <cell r="LL15">
            <v>0.36655476509413337</v>
          </cell>
        </row>
        <row r="18">
          <cell r="X18">
            <v>0.392770592010727</v>
          </cell>
          <cell r="AW18">
            <v>0.392770592010727</v>
          </cell>
          <cell r="BV18">
            <v>0.4033151801705126</v>
          </cell>
          <cell r="CU18">
            <v>0.4033151801705126</v>
          </cell>
          <cell r="DT18">
            <v>0.40858747425040526</v>
          </cell>
          <cell r="ES18">
            <v>0.40858747425040526</v>
          </cell>
          <cell r="FR18">
            <v>0.40858747425040526</v>
          </cell>
          <cell r="GQ18">
            <v>0.40858747425040526</v>
          </cell>
          <cell r="HP18">
            <v>0.40858747425040526</v>
          </cell>
          <cell r="IO18">
            <v>0.40858747425040526</v>
          </cell>
          <cell r="JN18">
            <v>0.41913206241019074</v>
          </cell>
          <cell r="KM18">
            <v>0.41913206241019074</v>
          </cell>
          <cell r="LL18">
            <v>0.41913206241019074</v>
          </cell>
        </row>
        <row r="31">
          <cell r="X31">
            <v>0.25202843923905022</v>
          </cell>
          <cell r="AW31">
            <v>0.25202843923905022</v>
          </cell>
          <cell r="BV31">
            <v>0.28542701727709774</v>
          </cell>
          <cell r="CU31">
            <v>0.28542701727709774</v>
          </cell>
          <cell r="DT31">
            <v>0.29210673288470712</v>
          </cell>
          <cell r="ES31">
            <v>0.29210673288470712</v>
          </cell>
          <cell r="FR31">
            <v>0.29210673288470712</v>
          </cell>
          <cell r="GQ31">
            <v>0.29210673288470712</v>
          </cell>
          <cell r="HP31">
            <v>0.29210673288470712</v>
          </cell>
          <cell r="IO31">
            <v>0.29210673288470712</v>
          </cell>
          <cell r="JN31">
            <v>0.31214587970753566</v>
          </cell>
          <cell r="KM31">
            <v>0.3221654531189499</v>
          </cell>
          <cell r="LL31">
            <v>0.3221654531189499</v>
          </cell>
        </row>
        <row r="34">
          <cell r="X34">
            <v>0.29544659068851187</v>
          </cell>
          <cell r="AW34">
            <v>0.29544659068851187</v>
          </cell>
          <cell r="BV34">
            <v>0.32667426115408632</v>
          </cell>
          <cell r="CU34">
            <v>0.32667426115408632</v>
          </cell>
          <cell r="DT34">
            <v>0.33291979524720117</v>
          </cell>
          <cell r="ES34">
            <v>0.33291979524720117</v>
          </cell>
          <cell r="FR34">
            <v>0.33291979524720117</v>
          </cell>
          <cell r="GQ34">
            <v>0.33291979524720117</v>
          </cell>
          <cell r="HP34">
            <v>0.33291979524720117</v>
          </cell>
          <cell r="IO34">
            <v>0.33291979524720117</v>
          </cell>
          <cell r="JN34">
            <v>0.35165639752654576</v>
          </cell>
          <cell r="KM34">
            <v>0.36102469866621811</v>
          </cell>
          <cell r="LL34">
            <v>0.36102469866621811</v>
          </cell>
        </row>
        <row r="51">
          <cell r="X51">
            <v>0.3374260685201404</v>
          </cell>
          <cell r="AW51">
            <v>0.3374260685201404</v>
          </cell>
          <cell r="BV51">
            <v>0.34907754714973754</v>
          </cell>
          <cell r="CU51">
            <v>0.34907754714973754</v>
          </cell>
          <cell r="DT51">
            <v>0.35490328646453623</v>
          </cell>
          <cell r="ES51">
            <v>0.35490328646453623</v>
          </cell>
          <cell r="FR51">
            <v>0.35490328646453623</v>
          </cell>
          <cell r="GQ51">
            <v>0.35490328646453623</v>
          </cell>
          <cell r="HP51">
            <v>0.35490328646453623</v>
          </cell>
          <cell r="IO51">
            <v>0.35490328646453623</v>
          </cell>
          <cell r="JN51">
            <v>0.36655476509413337</v>
          </cell>
          <cell r="KM51">
            <v>0.36655476509413337</v>
          </cell>
          <cell r="LL51">
            <v>0.36655476509413337</v>
          </cell>
        </row>
        <row r="54">
          <cell r="X54">
            <v>0.392770592010727</v>
          </cell>
          <cell r="AW54">
            <v>0.392770592010727</v>
          </cell>
          <cell r="BV54">
            <v>0.4033151801705126</v>
          </cell>
          <cell r="CU54">
            <v>0.4033151801705126</v>
          </cell>
          <cell r="DT54">
            <v>0.40858747425040526</v>
          </cell>
          <cell r="ES54">
            <v>0.40858747425040526</v>
          </cell>
          <cell r="FR54">
            <v>0.40858747425040526</v>
          </cell>
          <cell r="GQ54">
            <v>0.40858747425040526</v>
          </cell>
          <cell r="HP54">
            <v>0.40858747425040526</v>
          </cell>
          <cell r="IO54">
            <v>0.40858747425040526</v>
          </cell>
          <cell r="JN54">
            <v>0.41913206241019074</v>
          </cell>
          <cell r="KM54">
            <v>0.41913206241019074</v>
          </cell>
          <cell r="LL54">
            <v>0.41913206241019074</v>
          </cell>
        </row>
        <row r="67">
          <cell r="X67">
            <v>0.25202843923905022</v>
          </cell>
          <cell r="AW67">
            <v>0.25202843923905022</v>
          </cell>
          <cell r="BV67">
            <v>0.28542701727709774</v>
          </cell>
          <cell r="CU67">
            <v>0.28542701727709774</v>
          </cell>
          <cell r="DT67">
            <v>0.29210673288470712</v>
          </cell>
          <cell r="ES67">
            <v>0.29210673288470712</v>
          </cell>
          <cell r="FR67">
            <v>0.29210673288470712</v>
          </cell>
          <cell r="GQ67">
            <v>0.29210673288470712</v>
          </cell>
          <cell r="HP67">
            <v>0.29210673288470712</v>
          </cell>
          <cell r="IO67">
            <v>0.29210673288470712</v>
          </cell>
          <cell r="JN67">
            <v>0.31214587970753566</v>
          </cell>
          <cell r="KM67">
            <v>0.3221654531189499</v>
          </cell>
          <cell r="LL67">
            <v>0.3221654531189499</v>
          </cell>
        </row>
        <row r="70">
          <cell r="X70">
            <v>0.29544659068851187</v>
          </cell>
          <cell r="AW70">
            <v>0.29544659068851187</v>
          </cell>
          <cell r="BV70">
            <v>0.32667426115408632</v>
          </cell>
          <cell r="CU70">
            <v>0.32667426115408632</v>
          </cell>
          <cell r="DT70">
            <v>0.33291979524720117</v>
          </cell>
          <cell r="ES70">
            <v>0.33291979524720117</v>
          </cell>
          <cell r="FR70">
            <v>0.33291979524720117</v>
          </cell>
          <cell r="GQ70">
            <v>0.33291979524720117</v>
          </cell>
          <cell r="HP70">
            <v>0.33291979524720117</v>
          </cell>
          <cell r="IO70">
            <v>0.33291979524720117</v>
          </cell>
          <cell r="JN70">
            <v>0.35165639752654576</v>
          </cell>
          <cell r="KM70">
            <v>0.36102469866621811</v>
          </cell>
          <cell r="LL70">
            <v>0.36102469866621811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mail 03112025"/>
      <sheetName val="mail 24112025"/>
      <sheetName val="PROPAL 26 vs FDB 25"/>
      <sheetName val="MARGE GLOBALE MAX"/>
      <sheetName val="MARGE GLOBALE PALIER CA"/>
      <sheetName val="HISTO SYNTHESE"/>
      <sheetName val="DATAS PERF LABO"/>
      <sheetName val="ANALYSE PROPAL"/>
      <sheetName val="DATAS MARCHE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/>
      <sheetData sheetId="3"/>
      <sheetData sheetId="4">
        <row r="13">
          <cell r="R13">
            <v>0.46311923016459627</v>
          </cell>
        </row>
      </sheetData>
      <sheetData sheetId="5">
        <row r="15">
          <cell r="R15">
            <v>0.18930694326778352</v>
          </cell>
          <cell r="AL15">
            <v>0.18930694326778352</v>
          </cell>
          <cell r="BF15">
            <v>0.18930694326778352</v>
          </cell>
          <cell r="BZ15">
            <v>0.25947480022702923</v>
          </cell>
          <cell r="CT15">
            <v>0.29238703132805022</v>
          </cell>
          <cell r="DN15">
            <v>0.32069155007492822</v>
          </cell>
          <cell r="EH15">
            <v>0.37299830071915874</v>
          </cell>
          <cell r="FB15">
            <v>0.38606083612084291</v>
          </cell>
          <cell r="FV15">
            <v>0.40509770941942141</v>
          </cell>
          <cell r="GP15">
            <v>0.41775520496368895</v>
          </cell>
          <cell r="HJ15">
            <v>0.42532501811692386</v>
          </cell>
          <cell r="ID15">
            <v>0.46311923016459627</v>
          </cell>
          <cell r="IX15">
            <v>0.46311923016459627</v>
          </cell>
        </row>
        <row r="18">
          <cell r="R18">
            <v>0.22173466553707222</v>
          </cell>
          <cell r="AL18">
            <v>0.22173466553707222</v>
          </cell>
          <cell r="BF18">
            <v>0.22173466553707222</v>
          </cell>
          <cell r="BZ18">
            <v>0.28909580821794811</v>
          </cell>
          <cell r="CT18">
            <v>0.32069155007492822</v>
          </cell>
          <cell r="DN18">
            <v>0.34786388807193114</v>
          </cell>
          <cell r="EH18">
            <v>0.39807836869039237</v>
          </cell>
          <cell r="FB18">
            <v>0.41061840267600919</v>
          </cell>
          <cell r="FV18">
            <v>0.42889380104264463</v>
          </cell>
          <cell r="GP18">
            <v>0.44104499676514136</v>
          </cell>
          <cell r="HJ18">
            <v>0.44831201739224691</v>
          </cell>
          <cell r="ID18">
            <v>0.48459446095801245</v>
          </cell>
          <cell r="IX18">
            <v>0.48459446095801245</v>
          </cell>
        </row>
        <row r="31">
          <cell r="R31">
            <v>0.17719422247447708</v>
          </cell>
          <cell r="AL31">
            <v>0.17719422247447708</v>
          </cell>
          <cell r="BF31">
            <v>0.17719422247447708</v>
          </cell>
          <cell r="BZ31">
            <v>0.25398942837685923</v>
          </cell>
          <cell r="CT31">
            <v>0.31542559309876489</v>
          </cell>
          <cell r="DN31">
            <v>0.31542559309876489</v>
          </cell>
          <cell r="EH31">
            <v>0.36813782243015991</v>
          </cell>
          <cell r="FB31">
            <v>0.3813016177961982</v>
          </cell>
          <cell r="FV31">
            <v>0.41309724660339853</v>
          </cell>
          <cell r="GP31">
            <v>0.41309724660339853</v>
          </cell>
          <cell r="HJ31">
            <v>0.42072761826185923</v>
          </cell>
          <cell r="ID31">
            <v>0.45882418400591302</v>
          </cell>
          <cell r="IX31">
            <v>0.45882418400591302</v>
          </cell>
        </row>
        <row r="34">
          <cell r="R34">
            <v>0.19982138135642893</v>
          </cell>
          <cell r="AL34">
            <v>0.19982138135642893</v>
          </cell>
          <cell r="BF34">
            <v>0.19982138135642893</v>
          </cell>
          <cell r="BZ34">
            <v>0.27450471909649554</v>
          </cell>
          <cell r="CT34">
            <v>0.33425138928854886</v>
          </cell>
          <cell r="DN34">
            <v>0.33425138928854886</v>
          </cell>
          <cell r="EH34">
            <v>0.38551403231333059</v>
          </cell>
          <cell r="FB34">
            <v>0.39831582330680282</v>
          </cell>
          <cell r="FV34">
            <v>0.42923707232180497</v>
          </cell>
          <cell r="GP34">
            <v>0.42923707232180497</v>
          </cell>
          <cell r="HJ34">
            <v>0.43665760875965809</v>
          </cell>
          <cell r="ID34">
            <v>0.47370651894575039</v>
          </cell>
          <cell r="IX34">
            <v>0.47370651894575039</v>
          </cell>
        </row>
        <row r="53">
          <cell r="R53">
            <v>0.17719422247447708</v>
          </cell>
          <cell r="AL53">
            <v>0.17719422247447708</v>
          </cell>
          <cell r="BF53">
            <v>0.17719422247447708</v>
          </cell>
          <cell r="BZ53">
            <v>0.20462108172532784</v>
          </cell>
          <cell r="CT53">
            <v>0.23753331282634865</v>
          </cell>
          <cell r="DN53">
            <v>0.23753331282634865</v>
          </cell>
          <cell r="EH53">
            <v>0.23753331282634865</v>
          </cell>
          <cell r="FB53">
            <v>0.23753331282634865</v>
          </cell>
          <cell r="FV53">
            <v>0.25947480022702923</v>
          </cell>
          <cell r="GP53">
            <v>0.25947480022702923</v>
          </cell>
          <cell r="HJ53">
            <v>0.25947480022702923</v>
          </cell>
          <cell r="ID53">
            <v>0.25947480022702923</v>
          </cell>
          <cell r="IX53">
            <v>0.25947480022702923</v>
          </cell>
        </row>
        <row r="57">
          <cell r="R57">
            <v>0.17719422247447708</v>
          </cell>
          <cell r="AL57">
            <v>0.17719422247447708</v>
          </cell>
          <cell r="BF57">
            <v>0.17719422247447708</v>
          </cell>
          <cell r="BZ57">
            <v>0.20462108172532784</v>
          </cell>
          <cell r="CT57">
            <v>0.23753331282634865</v>
          </cell>
          <cell r="DN57">
            <v>0.23753331282634865</v>
          </cell>
          <cell r="EH57">
            <v>0.23753331282634865</v>
          </cell>
          <cell r="FB57">
            <v>0.23753331282634865</v>
          </cell>
          <cell r="FV57">
            <v>0.25947480022702923</v>
          </cell>
          <cell r="GP57">
            <v>0.25947480022702923</v>
          </cell>
          <cell r="HJ57">
            <v>0.25947480022702923</v>
          </cell>
          <cell r="ID57">
            <v>0.25947480022702923</v>
          </cell>
          <cell r="IX57">
            <v>0.25947480022702923</v>
          </cell>
        </row>
        <row r="69">
          <cell r="R69">
            <v>0.17719422247447708</v>
          </cell>
          <cell r="AL69">
            <v>0.17719422247447708</v>
          </cell>
          <cell r="BF69">
            <v>0.17719422247447708</v>
          </cell>
          <cell r="BZ69">
            <v>0.19913570987515763</v>
          </cell>
          <cell r="CT69">
            <v>0.23204794097617862</v>
          </cell>
          <cell r="DN69">
            <v>0.23204794097617862</v>
          </cell>
          <cell r="EH69">
            <v>0.23204794097617862</v>
          </cell>
          <cell r="FB69">
            <v>0.23204794097617862</v>
          </cell>
          <cell r="FV69">
            <v>0.25398942837685923</v>
          </cell>
          <cell r="GP69">
            <v>0.25398942837685923</v>
          </cell>
          <cell r="HJ69">
            <v>0.25398942837685923</v>
          </cell>
          <cell r="ID69">
            <v>0.25398942837685923</v>
          </cell>
          <cell r="IX69">
            <v>0.25398942837685923</v>
          </cell>
        </row>
        <row r="73">
          <cell r="R73">
            <v>0.17719422247447708</v>
          </cell>
          <cell r="AL73">
            <v>0.17719422247447708</v>
          </cell>
          <cell r="BF73">
            <v>0.17719422247447708</v>
          </cell>
          <cell r="BZ73">
            <v>0.19913570987515763</v>
          </cell>
          <cell r="CT73">
            <v>0.23204794097617862</v>
          </cell>
          <cell r="DN73">
            <v>0.23204794097617862</v>
          </cell>
          <cell r="EH73">
            <v>0.23204794097617862</v>
          </cell>
          <cell r="FB73">
            <v>0.23204794097617862</v>
          </cell>
          <cell r="FV73">
            <v>0.25398942837685923</v>
          </cell>
          <cell r="GP73">
            <v>0.25398942837685923</v>
          </cell>
          <cell r="HJ73">
            <v>0.25398942837685923</v>
          </cell>
          <cell r="ID73">
            <v>0.25398942837685923</v>
          </cell>
          <cell r="IX73">
            <v>0.25398942837685923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Mail 03112025"/>
      <sheetName val="Mail 24112025"/>
      <sheetName val="Mail 04122025"/>
      <sheetName val="COMPIL CA GALLIA + NUTRICIA"/>
      <sheetName val="PROPAL 26 vs FDB 25"/>
      <sheetName val="MARGE GLOBALE MAX"/>
      <sheetName val="MARGE GLOBALE PALIER CA"/>
      <sheetName val="DATAS PERF LABO"/>
      <sheetName val="ANALYSE PROPAL"/>
      <sheetName val="DATAS MARCHE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R13">
            <v>0.50296661274412613</v>
          </cell>
        </row>
      </sheetData>
      <sheetData sheetId="7">
        <row r="15">
          <cell r="R15">
            <v>0.26590434273387603</v>
          </cell>
          <cell r="AL15">
            <v>0.2805862558791985</v>
          </cell>
          <cell r="BF15">
            <v>0.2805862558791985</v>
          </cell>
          <cell r="BZ15">
            <v>0.34387036426420925</v>
          </cell>
          <cell r="CT15">
            <v>0.34387036426420925</v>
          </cell>
          <cell r="DN15">
            <v>0.34387036426420925</v>
          </cell>
          <cell r="EH15">
            <v>0.34387036426420925</v>
          </cell>
          <cell r="FB15">
            <v>0.34387036426420925</v>
          </cell>
          <cell r="FV15">
            <v>0.42771389736080034</v>
          </cell>
          <cell r="GP15">
            <v>0.42771389736080034</v>
          </cell>
          <cell r="HJ15">
            <v>0.42771389736080034</v>
          </cell>
          <cell r="ID15">
            <v>0.42771389736080034</v>
          </cell>
          <cell r="IX15">
            <v>0.50296661274412613</v>
          </cell>
        </row>
        <row r="18">
          <cell r="R18">
            <v>0.32463199531516596</v>
          </cell>
          <cell r="AL18">
            <v>0.33813935540886264</v>
          </cell>
          <cell r="BF18">
            <v>0.33813935540886264</v>
          </cell>
          <cell r="BZ18">
            <v>0.39636073512307252</v>
          </cell>
          <cell r="CT18">
            <v>0.39636073512307252</v>
          </cell>
          <cell r="DN18">
            <v>0.39636073512307252</v>
          </cell>
          <cell r="EH18">
            <v>0.39636073512307252</v>
          </cell>
          <cell r="FB18">
            <v>0.39636073512307252</v>
          </cell>
          <cell r="FV18">
            <v>0.4734967855719362</v>
          </cell>
          <cell r="GP18">
            <v>0.4734967855719362</v>
          </cell>
          <cell r="HJ18">
            <v>0.4734967855719362</v>
          </cell>
          <cell r="ID18">
            <v>0.4734967855719362</v>
          </cell>
          <cell r="IX18">
            <v>0.54272928372459617</v>
          </cell>
        </row>
        <row r="31">
          <cell r="R31">
            <v>0.27856116441087814</v>
          </cell>
          <cell r="AL31">
            <v>0.27856116441087814</v>
          </cell>
          <cell r="BF31">
            <v>0.3002043294785518</v>
          </cell>
          <cell r="BZ31">
            <v>0.3002043294785518</v>
          </cell>
          <cell r="CT31">
            <v>0.34931279758532024</v>
          </cell>
          <cell r="DN31">
            <v>0.34931279758532024</v>
          </cell>
          <cell r="EH31">
            <v>0.36943714405175365</v>
          </cell>
          <cell r="FB31">
            <v>0.36943714405175365</v>
          </cell>
          <cell r="FV31">
            <v>0.40884732254851902</v>
          </cell>
          <cell r="GP31">
            <v>0.40884732254851902</v>
          </cell>
          <cell r="HJ31">
            <v>0.44029161390232119</v>
          </cell>
          <cell r="ID31">
            <v>0.4465804721730815</v>
          </cell>
          <cell r="IX31">
            <v>0.4465804721730815</v>
          </cell>
        </row>
        <row r="34">
          <cell r="R34">
            <v>0.31030447317679954</v>
          </cell>
          <cell r="AL34">
            <v>0.31030447317679954</v>
          </cell>
          <cell r="BF34">
            <v>0.33099533898149563</v>
          </cell>
          <cell r="BZ34">
            <v>0.33099533898149563</v>
          </cell>
          <cell r="CT34">
            <v>0.37794303449156613</v>
          </cell>
          <cell r="DN34">
            <v>0.37794303449156613</v>
          </cell>
          <cell r="EH34">
            <v>0.39718190971347639</v>
          </cell>
          <cell r="FB34">
            <v>0.39718190971347639</v>
          </cell>
          <cell r="FV34">
            <v>0.4348580403563842</v>
          </cell>
          <cell r="GP34">
            <v>0.4348580403563842</v>
          </cell>
          <cell r="HJ34">
            <v>0.464918782890619</v>
          </cell>
          <cell r="ID34">
            <v>0.470930931397466</v>
          </cell>
          <cell r="IX34">
            <v>0.470930931397466</v>
          </cell>
        </row>
        <row r="54">
          <cell r="BZ54">
            <v>0.30741871783444308</v>
          </cell>
          <cell r="CT54">
            <v>0.30741871783444308</v>
          </cell>
          <cell r="DN54">
            <v>0.30741871783444308</v>
          </cell>
          <cell r="EH54">
            <v>0.30741871783444308</v>
          </cell>
          <cell r="FB54">
            <v>0.30741871783444308</v>
          </cell>
          <cell r="FV54">
            <v>0.36652607506604307</v>
          </cell>
          <cell r="GP54">
            <v>0.36652607506604307</v>
          </cell>
          <cell r="HJ54">
            <v>0.36652607506604307</v>
          </cell>
          <cell r="ID54">
            <v>0.36652607506604307</v>
          </cell>
          <cell r="IX54">
            <v>0.42082384006038226</v>
          </cell>
        </row>
        <row r="57">
          <cell r="BZ57">
            <v>0.36282522040768755</v>
          </cell>
          <cell r="CT57">
            <v>0.36282522040768755</v>
          </cell>
          <cell r="DN57">
            <v>0.36282522040768755</v>
          </cell>
          <cell r="EH57">
            <v>0.36282522040768755</v>
          </cell>
          <cell r="FB57">
            <v>0.36282522040768755</v>
          </cell>
          <cell r="FV57">
            <v>0.41720398906075962</v>
          </cell>
          <cell r="GP57">
            <v>0.41720398906075962</v>
          </cell>
          <cell r="HJ57">
            <v>0.41720398906075962</v>
          </cell>
          <cell r="ID57">
            <v>0.41720398906075962</v>
          </cell>
          <cell r="IX57">
            <v>0.46715793285555168</v>
          </cell>
        </row>
        <row r="70">
          <cell r="R70">
            <v>0.29121798608788035</v>
          </cell>
          <cell r="AL70">
            <v>0.29121798608788035</v>
          </cell>
          <cell r="BF70">
            <v>0.31248144650524395</v>
          </cell>
          <cell r="BZ70">
            <v>0.31248144650524395</v>
          </cell>
          <cell r="CT70">
            <v>0.31248144650524395</v>
          </cell>
          <cell r="DN70">
            <v>0.31248144650524395</v>
          </cell>
          <cell r="EH70">
            <v>0.3337449069226075</v>
          </cell>
          <cell r="FB70">
            <v>0.3337449069226075</v>
          </cell>
          <cell r="FV70">
            <v>0.3337449069226075</v>
          </cell>
          <cell r="GP70">
            <v>0.3337449069226075</v>
          </cell>
          <cell r="HJ70">
            <v>0.39171315020327735</v>
          </cell>
          <cell r="ID70">
            <v>0.39854783390885851</v>
          </cell>
          <cell r="IX70">
            <v>0.39854783390885851</v>
          </cell>
        </row>
        <row r="73">
          <cell r="R73">
            <v>0.32240439470001364</v>
          </cell>
          <cell r="AL73">
            <v>0.32240439470001364</v>
          </cell>
          <cell r="BF73">
            <v>0.34273226285901326</v>
          </cell>
          <cell r="BZ73">
            <v>0.34273226285901326</v>
          </cell>
          <cell r="CT73">
            <v>0.34273226285901326</v>
          </cell>
          <cell r="DN73">
            <v>0.34273226285901326</v>
          </cell>
          <cell r="EH73">
            <v>0.36306013101801288</v>
          </cell>
          <cell r="FB73">
            <v>0.36306013101801288</v>
          </cell>
          <cell r="FV73">
            <v>0.36306013101801288</v>
          </cell>
          <cell r="GP73">
            <v>0.36306013101801288</v>
          </cell>
          <cell r="HJ73">
            <v>0.41847777159433314</v>
          </cell>
          <cell r="ID73">
            <v>0.42501172921686875</v>
          </cell>
          <cell r="IX73">
            <v>0.42501172921686875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BF54-9B9D-4DB7-9E22-8DA153EAFCFF}">
  <sheetPr>
    <tabColor rgb="FFFF0000"/>
  </sheetPr>
  <dimension ref="B2:N75"/>
  <sheetViews>
    <sheetView showGridLines="0" tabSelected="1" zoomScaleNormal="100" workbookViewId="0">
      <selection activeCell="O1" sqref="O1:O1048576"/>
    </sheetView>
  </sheetViews>
  <sheetFormatPr baseColWidth="10" defaultRowHeight="15" outlineLevelRow="1" x14ac:dyDescent="0.25"/>
  <cols>
    <col min="1" max="1" width="3.85546875" customWidth="1"/>
    <col min="3" max="3" width="21.85546875" style="3" bestFit="1" customWidth="1"/>
    <col min="4" max="4" width="29.85546875" style="3" bestFit="1" customWidth="1"/>
    <col min="6" max="6" width="16.140625" bestFit="1" customWidth="1"/>
    <col min="7" max="7" width="15.28515625" bestFit="1" customWidth="1"/>
    <col min="8" max="8" width="5.42578125" customWidth="1"/>
    <col min="10" max="10" width="21.85546875" style="3" bestFit="1" customWidth="1"/>
    <col min="11" max="11" width="29.85546875" bestFit="1" customWidth="1"/>
    <col min="13" max="13" width="16.140625" bestFit="1" customWidth="1"/>
  </cols>
  <sheetData>
    <row r="2" spans="2:14" ht="14.45" customHeight="1" outlineLevel="1" x14ac:dyDescent="0.25">
      <c r="B2" s="14" t="s">
        <v>4</v>
      </c>
      <c r="C2" s="12" t="s">
        <v>33</v>
      </c>
      <c r="D2" s="4" t="s">
        <v>3</v>
      </c>
      <c r="E2" s="5" t="s">
        <v>2</v>
      </c>
      <c r="F2" s="5" t="s">
        <v>0</v>
      </c>
      <c r="G2" s="5" t="s">
        <v>1</v>
      </c>
      <c r="I2" s="13" t="s">
        <v>6</v>
      </c>
      <c r="J2" s="12" t="s">
        <v>33</v>
      </c>
      <c r="K2" s="5" t="s">
        <v>3</v>
      </c>
      <c r="L2" s="5" t="s">
        <v>2</v>
      </c>
      <c r="M2" s="5" t="s">
        <v>0</v>
      </c>
      <c r="N2" s="5" t="s">
        <v>1</v>
      </c>
    </row>
    <row r="3" spans="2:14" outlineLevel="1" x14ac:dyDescent="0.25">
      <c r="B3" s="15"/>
      <c r="C3" s="11"/>
      <c r="D3" s="8" t="s">
        <v>12</v>
      </c>
      <c r="E3" s="6">
        <f>'[1]MARGE GLOBALE PALIER CA'!$X$15</f>
        <v>0.3374260685201404</v>
      </c>
      <c r="F3" s="6">
        <f>'[2]MARGE GLOBALE PALIER CA'!$R$15</f>
        <v>0.18930694326778352</v>
      </c>
      <c r="G3" s="6">
        <f>'[3]MARGE GLOBALE PALIER CA'!$R$15</f>
        <v>0.26590434273387603</v>
      </c>
      <c r="I3" s="13"/>
      <c r="J3" s="11"/>
      <c r="K3" s="8" t="s">
        <v>12</v>
      </c>
      <c r="L3" s="6">
        <f>'[1]MARGE GLOBALE PALIER CA'!$X$31</f>
        <v>0.25202843923905022</v>
      </c>
      <c r="M3" s="6">
        <f>'[2]MARGE GLOBALE PALIER CA'!$R$31</f>
        <v>0.17719422247447708</v>
      </c>
      <c r="N3" s="6">
        <f>'[3]MARGE GLOBALE PALIER CA'!$R$31</f>
        <v>0.27856116441087814</v>
      </c>
    </row>
    <row r="4" spans="2:14" outlineLevel="1" x14ac:dyDescent="0.25">
      <c r="B4" s="15"/>
      <c r="C4" s="11"/>
      <c r="D4" s="8" t="s">
        <v>13</v>
      </c>
      <c r="E4" s="6">
        <f>'[1]MARGE GLOBALE PALIER CA'!$AW$15</f>
        <v>0.3374260685201404</v>
      </c>
      <c r="F4" s="6">
        <f>'[2]MARGE GLOBALE PALIER CA'!$AL$15</f>
        <v>0.18930694326778352</v>
      </c>
      <c r="G4" s="6">
        <f>'[3]MARGE GLOBALE PALIER CA'!$AL$15</f>
        <v>0.2805862558791985</v>
      </c>
      <c r="I4" s="13"/>
      <c r="J4" s="11"/>
      <c r="K4" s="8" t="s">
        <v>13</v>
      </c>
      <c r="L4" s="6">
        <f>'[1]MARGE GLOBALE PALIER CA'!$AW$31</f>
        <v>0.25202843923905022</v>
      </c>
      <c r="M4" s="6">
        <f>'[2]MARGE GLOBALE PALIER CA'!$AL$31</f>
        <v>0.17719422247447708</v>
      </c>
      <c r="N4" s="6">
        <f>'[3]MARGE GLOBALE PALIER CA'!$AL$31</f>
        <v>0.27856116441087814</v>
      </c>
    </row>
    <row r="5" spans="2:14" outlineLevel="1" x14ac:dyDescent="0.25">
      <c r="B5" s="15"/>
      <c r="C5" s="11"/>
      <c r="D5" s="8" t="s">
        <v>14</v>
      </c>
      <c r="E5" s="6">
        <f>'[1]MARGE GLOBALE PALIER CA'!$BV$15</f>
        <v>0.34907754714973754</v>
      </c>
      <c r="F5" s="6">
        <f>'[2]MARGE GLOBALE PALIER CA'!$BF$15</f>
        <v>0.18930694326778352</v>
      </c>
      <c r="G5" s="6">
        <f>'[3]MARGE GLOBALE PALIER CA'!$BF$15</f>
        <v>0.2805862558791985</v>
      </c>
      <c r="I5" s="13"/>
      <c r="J5" s="11"/>
      <c r="K5" s="8" t="s">
        <v>14</v>
      </c>
      <c r="L5" s="6">
        <f>'[1]MARGE GLOBALE PALIER CA'!$BV$31</f>
        <v>0.28542701727709774</v>
      </c>
      <c r="M5" s="6">
        <f>'[2]MARGE GLOBALE PALIER CA'!$BF$31</f>
        <v>0.17719422247447708</v>
      </c>
      <c r="N5" s="6">
        <f>'[3]MARGE GLOBALE PALIER CA'!$BF$31</f>
        <v>0.3002043294785518</v>
      </c>
    </row>
    <row r="6" spans="2:14" outlineLevel="1" x14ac:dyDescent="0.25">
      <c r="B6" s="15"/>
      <c r="C6" s="11"/>
      <c r="D6" s="8" t="s">
        <v>15</v>
      </c>
      <c r="E6" s="6">
        <f>'[1]MARGE GLOBALE PALIER CA'!$CU$15</f>
        <v>0.34907754714973754</v>
      </c>
      <c r="F6" s="6">
        <f>'[2]MARGE GLOBALE PALIER CA'!$BZ$15</f>
        <v>0.25947480022702923</v>
      </c>
      <c r="G6" s="6">
        <f>'[3]MARGE GLOBALE PALIER CA'!$BZ$15</f>
        <v>0.34387036426420925</v>
      </c>
      <c r="I6" s="13"/>
      <c r="J6" s="11"/>
      <c r="K6" s="8" t="s">
        <v>15</v>
      </c>
      <c r="L6" s="6">
        <f>'[1]MARGE GLOBALE PALIER CA'!$CU$31</f>
        <v>0.28542701727709774</v>
      </c>
      <c r="M6" s="6">
        <f>'[2]MARGE GLOBALE PALIER CA'!$BZ$31</f>
        <v>0.25398942837685923</v>
      </c>
      <c r="N6" s="6">
        <f>'[3]MARGE GLOBALE PALIER CA'!$BZ$31</f>
        <v>0.3002043294785518</v>
      </c>
    </row>
    <row r="7" spans="2:14" outlineLevel="1" x14ac:dyDescent="0.25">
      <c r="B7" s="15"/>
      <c r="C7" s="11"/>
      <c r="D7" s="8" t="s">
        <v>16</v>
      </c>
      <c r="E7" s="6">
        <f>'[1]MARGE GLOBALE PALIER CA'!$DT$15</f>
        <v>0.35490328646453623</v>
      </c>
      <c r="F7" s="6">
        <f>'[2]MARGE GLOBALE PALIER CA'!$CT$15</f>
        <v>0.29238703132805022</v>
      </c>
      <c r="G7" s="6">
        <f>'[3]MARGE GLOBALE PALIER CA'!$CT$15</f>
        <v>0.34387036426420925</v>
      </c>
      <c r="I7" s="13"/>
      <c r="J7" s="11"/>
      <c r="K7" s="8" t="s">
        <v>16</v>
      </c>
      <c r="L7" s="6">
        <f>'[1]MARGE GLOBALE PALIER CA'!$DT$31</f>
        <v>0.29210673288470712</v>
      </c>
      <c r="M7" s="6">
        <f>'[2]MARGE GLOBALE PALIER CA'!$CT$31</f>
        <v>0.31542559309876489</v>
      </c>
      <c r="N7" s="6">
        <f>'[3]MARGE GLOBALE PALIER CA'!$CT$31</f>
        <v>0.34931279758532024</v>
      </c>
    </row>
    <row r="8" spans="2:14" outlineLevel="1" x14ac:dyDescent="0.25">
      <c r="B8" s="15"/>
      <c r="C8" s="11"/>
      <c r="D8" s="8" t="s">
        <v>17</v>
      </c>
      <c r="E8" s="6">
        <f>'[1]MARGE GLOBALE PALIER CA'!$ES$15</f>
        <v>0.35490328646453623</v>
      </c>
      <c r="F8" s="6">
        <f>'[2]MARGE GLOBALE PALIER CA'!$DN$15</f>
        <v>0.32069155007492822</v>
      </c>
      <c r="G8" s="6">
        <f>'[3]MARGE GLOBALE PALIER CA'!$DN$15</f>
        <v>0.34387036426420925</v>
      </c>
      <c r="I8" s="13"/>
      <c r="J8" s="11"/>
      <c r="K8" s="8" t="s">
        <v>17</v>
      </c>
      <c r="L8" s="6">
        <f>'[1]MARGE GLOBALE PALIER CA'!$ES$31</f>
        <v>0.29210673288470712</v>
      </c>
      <c r="M8" s="6">
        <f>'[2]MARGE GLOBALE PALIER CA'!$DN$31</f>
        <v>0.31542559309876489</v>
      </c>
      <c r="N8" s="6">
        <f>'[3]MARGE GLOBALE PALIER CA'!$DN$31</f>
        <v>0.34931279758532024</v>
      </c>
    </row>
    <row r="9" spans="2:14" outlineLevel="1" x14ac:dyDescent="0.25">
      <c r="B9" s="15"/>
      <c r="C9" s="11"/>
      <c r="D9" s="2" t="s">
        <v>18</v>
      </c>
      <c r="E9" s="6">
        <f>'[1]MARGE GLOBALE PALIER CA'!$FR$15</f>
        <v>0.35490328646453623</v>
      </c>
      <c r="F9" s="6">
        <f>'[2]MARGE GLOBALE PALIER CA'!$EH$15</f>
        <v>0.37299830071915874</v>
      </c>
      <c r="G9" s="6">
        <f>'[3]MARGE GLOBALE PALIER CA'!$EH$15</f>
        <v>0.34387036426420925</v>
      </c>
      <c r="I9" s="13"/>
      <c r="J9" s="11"/>
      <c r="K9" s="2" t="s">
        <v>18</v>
      </c>
      <c r="L9" s="6">
        <f>'[1]MARGE GLOBALE PALIER CA'!$FR$31</f>
        <v>0.29210673288470712</v>
      </c>
      <c r="M9" s="6">
        <f>'[2]MARGE GLOBALE PALIER CA'!$EH$31</f>
        <v>0.36813782243015991</v>
      </c>
      <c r="N9" s="6">
        <f>'[3]MARGE GLOBALE PALIER CA'!$EH$31</f>
        <v>0.36943714405175365</v>
      </c>
    </row>
    <row r="10" spans="2:14" outlineLevel="1" x14ac:dyDescent="0.25">
      <c r="B10" s="15"/>
      <c r="C10" s="11"/>
      <c r="D10" s="2" t="s">
        <v>19</v>
      </c>
      <c r="E10" s="6">
        <f>'[1]MARGE GLOBALE PALIER CA'!$GQ$15</f>
        <v>0.35490328646453623</v>
      </c>
      <c r="F10" s="6">
        <f>'[2]MARGE GLOBALE PALIER CA'!$FB$15</f>
        <v>0.38606083612084291</v>
      </c>
      <c r="G10" s="6">
        <f>'[3]MARGE GLOBALE PALIER CA'!$FB$15</f>
        <v>0.34387036426420925</v>
      </c>
      <c r="I10" s="13"/>
      <c r="J10" s="11"/>
      <c r="K10" s="2" t="s">
        <v>19</v>
      </c>
      <c r="L10" s="6">
        <f>'[1]MARGE GLOBALE PALIER CA'!$GQ$31</f>
        <v>0.29210673288470712</v>
      </c>
      <c r="M10" s="6">
        <f>'[2]MARGE GLOBALE PALIER CA'!$FB$31</f>
        <v>0.3813016177961982</v>
      </c>
      <c r="N10" s="6">
        <f>'[3]MARGE GLOBALE PALIER CA'!$FB$31</f>
        <v>0.36943714405175365</v>
      </c>
    </row>
    <row r="11" spans="2:14" outlineLevel="1" x14ac:dyDescent="0.25">
      <c r="B11" s="15"/>
      <c r="C11" s="11"/>
      <c r="D11" s="2" t="s">
        <v>20</v>
      </c>
      <c r="E11" s="6">
        <f>'[1]MARGE GLOBALE PALIER CA'!$HP$15</f>
        <v>0.35490328646453623</v>
      </c>
      <c r="F11" s="6">
        <f>'[2]MARGE GLOBALE PALIER CA'!$FV$15</f>
        <v>0.40509770941942141</v>
      </c>
      <c r="G11" s="6">
        <f>'[3]MARGE GLOBALE PALIER CA'!$FV$15</f>
        <v>0.42771389736080034</v>
      </c>
      <c r="I11" s="13"/>
      <c r="J11" s="11"/>
      <c r="K11" s="2" t="s">
        <v>20</v>
      </c>
      <c r="L11" s="6">
        <f>'[1]MARGE GLOBALE PALIER CA'!$HP$31</f>
        <v>0.29210673288470712</v>
      </c>
      <c r="M11" s="6">
        <f>'[2]MARGE GLOBALE PALIER CA'!$FV$31</f>
        <v>0.41309724660339853</v>
      </c>
      <c r="N11" s="6">
        <f>'[3]MARGE GLOBALE PALIER CA'!$FV$31</f>
        <v>0.40884732254851902</v>
      </c>
    </row>
    <row r="12" spans="2:14" outlineLevel="1" x14ac:dyDescent="0.25">
      <c r="B12" s="15"/>
      <c r="C12" s="11"/>
      <c r="D12" s="2" t="s">
        <v>21</v>
      </c>
      <c r="E12" s="6">
        <f>'[1]MARGE GLOBALE PALIER CA'!$IO$15</f>
        <v>0.35490328646453623</v>
      </c>
      <c r="F12" s="6">
        <f>'[2]MARGE GLOBALE PALIER CA'!$GP$15</f>
        <v>0.41775520496368895</v>
      </c>
      <c r="G12" s="6">
        <f>'[3]MARGE GLOBALE PALIER CA'!$GP$15</f>
        <v>0.42771389736080034</v>
      </c>
      <c r="I12" s="13"/>
      <c r="J12" s="11"/>
      <c r="K12" s="2" t="s">
        <v>21</v>
      </c>
      <c r="L12" s="6">
        <f>'[1]MARGE GLOBALE PALIER CA'!$IO$31</f>
        <v>0.29210673288470712</v>
      </c>
      <c r="M12" s="6">
        <f>'[2]MARGE GLOBALE PALIER CA'!$GP$31</f>
        <v>0.41309724660339853</v>
      </c>
      <c r="N12" s="6">
        <f>'[3]MARGE GLOBALE PALIER CA'!$GP$31</f>
        <v>0.40884732254851902</v>
      </c>
    </row>
    <row r="13" spans="2:14" outlineLevel="1" x14ac:dyDescent="0.25">
      <c r="B13" s="15"/>
      <c r="C13" s="11"/>
      <c r="D13" s="2" t="s">
        <v>22</v>
      </c>
      <c r="E13" s="6">
        <f>'[1]MARGE GLOBALE PALIER CA'!$JN$15</f>
        <v>0.36655476509413337</v>
      </c>
      <c r="F13" s="6">
        <f>'[2]MARGE GLOBALE PALIER CA'!$HJ$15</f>
        <v>0.42532501811692386</v>
      </c>
      <c r="G13" s="6">
        <f>'[3]MARGE GLOBALE PALIER CA'!$HJ$15</f>
        <v>0.42771389736080034</v>
      </c>
      <c r="I13" s="13"/>
      <c r="J13" s="11"/>
      <c r="K13" s="2" t="s">
        <v>22</v>
      </c>
      <c r="L13" s="6">
        <f>'[1]MARGE GLOBALE PALIER CA'!$JN$31</f>
        <v>0.31214587970753566</v>
      </c>
      <c r="M13" s="6">
        <f>'[2]MARGE GLOBALE PALIER CA'!$HJ$31</f>
        <v>0.42072761826185923</v>
      </c>
      <c r="N13" s="6">
        <f>'[3]MARGE GLOBALE PALIER CA'!$HJ$31</f>
        <v>0.44029161390232119</v>
      </c>
    </row>
    <row r="14" spans="2:14" outlineLevel="1" x14ac:dyDescent="0.25">
      <c r="B14" s="15"/>
      <c r="C14" s="11"/>
      <c r="D14" s="2" t="s">
        <v>23</v>
      </c>
      <c r="E14" s="6">
        <f>'[1]MARGE GLOBALE PALIER CA'!$KM$15</f>
        <v>0.36655476509413337</v>
      </c>
      <c r="F14" s="6">
        <f>'[2]MARGE GLOBALE PALIER CA'!$ID$15</f>
        <v>0.46311923016459627</v>
      </c>
      <c r="G14" s="6">
        <f>'[3]MARGE GLOBALE PALIER CA'!$ID$15</f>
        <v>0.42771389736080034</v>
      </c>
      <c r="I14" s="13"/>
      <c r="J14" s="11"/>
      <c r="K14" s="2" t="s">
        <v>23</v>
      </c>
      <c r="L14" s="6">
        <f>'[1]MARGE GLOBALE PALIER CA'!$KM$31</f>
        <v>0.3221654531189499</v>
      </c>
      <c r="M14" s="6">
        <f>'[2]MARGE GLOBALE PALIER CA'!$ID$31</f>
        <v>0.45882418400591302</v>
      </c>
      <c r="N14" s="6">
        <f>'[3]MARGE GLOBALE PALIER CA'!$ID$31</f>
        <v>0.4465804721730815</v>
      </c>
    </row>
    <row r="15" spans="2:14" outlineLevel="1" x14ac:dyDescent="0.25">
      <c r="B15" s="16"/>
      <c r="C15" s="11"/>
      <c r="D15" s="2" t="s">
        <v>24</v>
      </c>
      <c r="E15" s="6">
        <f>'[1]MARGE GLOBALE PALIER CA'!$LL$15</f>
        <v>0.36655476509413337</v>
      </c>
      <c r="F15" s="6">
        <f>'[2]MARGE GLOBALE PALIER CA'!$IX$15</f>
        <v>0.46311923016459627</v>
      </c>
      <c r="G15" s="6">
        <f>'[3]MARGE GLOBALE PALIER CA'!$IX$15</f>
        <v>0.50296661274412613</v>
      </c>
      <c r="I15" s="13"/>
      <c r="J15" s="11"/>
      <c r="K15" s="2" t="s">
        <v>24</v>
      </c>
      <c r="L15" s="6">
        <f>'[1]MARGE GLOBALE PALIER CA'!$LL$31</f>
        <v>0.3221654531189499</v>
      </c>
      <c r="M15" s="6">
        <f>'[2]MARGE GLOBALE PALIER CA'!$IX$31</f>
        <v>0.45882418400591302</v>
      </c>
      <c r="N15" s="6">
        <f>'[3]MARGE GLOBALE PALIER CA'!$IX$31</f>
        <v>0.4465804721730815</v>
      </c>
    </row>
    <row r="16" spans="2:14" x14ac:dyDescent="0.25">
      <c r="B16" s="1"/>
      <c r="C16" s="1"/>
      <c r="E16" s="3"/>
      <c r="F16" s="3"/>
      <c r="G16" s="3"/>
      <c r="I16" s="1"/>
      <c r="J16" s="1"/>
      <c r="K16" s="3"/>
      <c r="L16" s="3"/>
      <c r="M16" s="3"/>
      <c r="N16" s="3"/>
    </row>
    <row r="17" spans="2:14" ht="14.45" customHeight="1" outlineLevel="1" x14ac:dyDescent="0.25">
      <c r="B17" s="13" t="s">
        <v>5</v>
      </c>
      <c r="C17" s="12" t="s">
        <v>33</v>
      </c>
      <c r="D17" s="5" t="s">
        <v>3</v>
      </c>
      <c r="E17" s="5" t="s">
        <v>2</v>
      </c>
      <c r="F17" s="5" t="s">
        <v>0</v>
      </c>
      <c r="G17" s="5" t="s">
        <v>1</v>
      </c>
      <c r="I17" s="14" t="s">
        <v>7</v>
      </c>
      <c r="J17" s="12" t="s">
        <v>33</v>
      </c>
      <c r="K17" s="5" t="s">
        <v>3</v>
      </c>
      <c r="L17" s="5" t="s">
        <v>2</v>
      </c>
      <c r="M17" s="5" t="s">
        <v>0</v>
      </c>
      <c r="N17" s="5" t="s">
        <v>1</v>
      </c>
    </row>
    <row r="18" spans="2:14" outlineLevel="1" x14ac:dyDescent="0.25">
      <c r="B18" s="13"/>
      <c r="C18" s="11"/>
      <c r="D18" s="8" t="s">
        <v>12</v>
      </c>
      <c r="E18" s="6">
        <f>'[1]MARGE GLOBALE PALIER CA'!$X$51</f>
        <v>0.3374260685201404</v>
      </c>
      <c r="F18" s="6">
        <f>'[2]MARGE GLOBALE PALIER CA'!$R$53</f>
        <v>0.17719422247447708</v>
      </c>
      <c r="G18" s="6" t="s">
        <v>31</v>
      </c>
      <c r="I18" s="15"/>
      <c r="J18" s="11"/>
      <c r="K18" s="8" t="s">
        <v>12</v>
      </c>
      <c r="L18" s="6">
        <f>'[1]MARGE GLOBALE PALIER CA'!$X$67</f>
        <v>0.25202843923905022</v>
      </c>
      <c r="M18" s="6">
        <f>'[2]MARGE GLOBALE PALIER CA'!$R$69</f>
        <v>0.17719422247447708</v>
      </c>
      <c r="N18" s="6">
        <f>'[3]MARGE GLOBALE PALIER CA'!$R$70</f>
        <v>0.29121798608788035</v>
      </c>
    </row>
    <row r="19" spans="2:14" outlineLevel="1" x14ac:dyDescent="0.25">
      <c r="B19" s="13"/>
      <c r="C19" s="11"/>
      <c r="D19" s="8" t="s">
        <v>13</v>
      </c>
      <c r="E19" s="6">
        <f>'[1]MARGE GLOBALE PALIER CA'!$AW$51</f>
        <v>0.3374260685201404</v>
      </c>
      <c r="F19" s="6">
        <f>'[2]MARGE GLOBALE PALIER CA'!$AL$53</f>
        <v>0.17719422247447708</v>
      </c>
      <c r="G19" s="6" t="s">
        <v>31</v>
      </c>
      <c r="I19" s="15"/>
      <c r="J19" s="11"/>
      <c r="K19" s="8" t="s">
        <v>13</v>
      </c>
      <c r="L19" s="6">
        <f>'[1]MARGE GLOBALE PALIER CA'!$AW$67</f>
        <v>0.25202843923905022</v>
      </c>
      <c r="M19" s="6">
        <f>'[2]MARGE GLOBALE PALIER CA'!$AL$69</f>
        <v>0.17719422247447708</v>
      </c>
      <c r="N19" s="6">
        <f>'[3]MARGE GLOBALE PALIER CA'!$AL$70</f>
        <v>0.29121798608788035</v>
      </c>
    </row>
    <row r="20" spans="2:14" outlineLevel="1" x14ac:dyDescent="0.25">
      <c r="B20" s="13"/>
      <c r="C20" s="11"/>
      <c r="D20" s="8" t="s">
        <v>14</v>
      </c>
      <c r="E20" s="6">
        <f>'[1]MARGE GLOBALE PALIER CA'!$BV$51</f>
        <v>0.34907754714973754</v>
      </c>
      <c r="F20" s="6">
        <f>'[2]MARGE GLOBALE PALIER CA'!$BF$53</f>
        <v>0.17719422247447708</v>
      </c>
      <c r="G20" s="6" t="s">
        <v>31</v>
      </c>
      <c r="I20" s="15"/>
      <c r="J20" s="11"/>
      <c r="K20" s="8" t="s">
        <v>14</v>
      </c>
      <c r="L20" s="6">
        <f>'[1]MARGE GLOBALE PALIER CA'!$BV$67</f>
        <v>0.28542701727709774</v>
      </c>
      <c r="M20" s="6">
        <f>'[2]MARGE GLOBALE PALIER CA'!$BF$69</f>
        <v>0.17719422247447708</v>
      </c>
      <c r="N20" s="6">
        <f>'[3]MARGE GLOBALE PALIER CA'!$BF$70</f>
        <v>0.31248144650524395</v>
      </c>
    </row>
    <row r="21" spans="2:14" outlineLevel="1" x14ac:dyDescent="0.25">
      <c r="B21" s="13"/>
      <c r="C21" s="11"/>
      <c r="D21" s="8" t="s">
        <v>15</v>
      </c>
      <c r="E21" s="6">
        <f>'[1]MARGE GLOBALE PALIER CA'!$CU$51</f>
        <v>0.34907754714973754</v>
      </c>
      <c r="F21" s="6">
        <f>'[2]MARGE GLOBALE PALIER CA'!$BZ$53</f>
        <v>0.20462108172532784</v>
      </c>
      <c r="G21" s="6">
        <f>'[3]MARGE GLOBALE PALIER CA'!$BZ$54</f>
        <v>0.30741871783444308</v>
      </c>
      <c r="I21" s="15"/>
      <c r="J21" s="11"/>
      <c r="K21" s="8" t="s">
        <v>15</v>
      </c>
      <c r="L21" s="6">
        <f>'[1]MARGE GLOBALE PALIER CA'!$CU$67</f>
        <v>0.28542701727709774</v>
      </c>
      <c r="M21" s="6">
        <f>'[2]MARGE GLOBALE PALIER CA'!$BZ$69</f>
        <v>0.19913570987515763</v>
      </c>
      <c r="N21" s="6">
        <f>'[3]MARGE GLOBALE PALIER CA'!$BZ$70</f>
        <v>0.31248144650524395</v>
      </c>
    </row>
    <row r="22" spans="2:14" outlineLevel="1" x14ac:dyDescent="0.25">
      <c r="B22" s="13"/>
      <c r="C22" s="11"/>
      <c r="D22" s="8" t="s">
        <v>16</v>
      </c>
      <c r="E22" s="6">
        <f>'[1]MARGE GLOBALE PALIER CA'!$DT$51</f>
        <v>0.35490328646453623</v>
      </c>
      <c r="F22" s="6">
        <f>'[2]MARGE GLOBALE PALIER CA'!$CT$53</f>
        <v>0.23753331282634865</v>
      </c>
      <c r="G22" s="6">
        <f>'[3]MARGE GLOBALE PALIER CA'!$CT$54</f>
        <v>0.30741871783444308</v>
      </c>
      <c r="I22" s="15"/>
      <c r="J22" s="11"/>
      <c r="K22" s="8" t="s">
        <v>16</v>
      </c>
      <c r="L22" s="6">
        <f>'[1]MARGE GLOBALE PALIER CA'!$DT$67</f>
        <v>0.29210673288470712</v>
      </c>
      <c r="M22" s="6">
        <f>'[2]MARGE GLOBALE PALIER CA'!$CT$69</f>
        <v>0.23204794097617862</v>
      </c>
      <c r="N22" s="6">
        <f>'[3]MARGE GLOBALE PALIER CA'!$CT$70</f>
        <v>0.31248144650524395</v>
      </c>
    </row>
    <row r="23" spans="2:14" outlineLevel="1" x14ac:dyDescent="0.25">
      <c r="B23" s="13"/>
      <c r="C23" s="11"/>
      <c r="D23" s="8" t="s">
        <v>17</v>
      </c>
      <c r="E23" s="6">
        <f>'[1]MARGE GLOBALE PALIER CA'!$ES$51</f>
        <v>0.35490328646453623</v>
      </c>
      <c r="F23" s="6">
        <f>'[2]MARGE GLOBALE PALIER CA'!$DN$53</f>
        <v>0.23753331282634865</v>
      </c>
      <c r="G23" s="6">
        <f>'[3]MARGE GLOBALE PALIER CA'!$DN$54</f>
        <v>0.30741871783444308</v>
      </c>
      <c r="I23" s="15"/>
      <c r="J23" s="11"/>
      <c r="K23" s="8" t="s">
        <v>17</v>
      </c>
      <c r="L23" s="6">
        <f>'[1]MARGE GLOBALE PALIER CA'!$ES$67</f>
        <v>0.29210673288470712</v>
      </c>
      <c r="M23" s="6">
        <f>'[2]MARGE GLOBALE PALIER CA'!$DN$69</f>
        <v>0.23204794097617862</v>
      </c>
      <c r="N23" s="6">
        <f>'[3]MARGE GLOBALE PALIER CA'!$DN$70</f>
        <v>0.31248144650524395</v>
      </c>
    </row>
    <row r="24" spans="2:14" outlineLevel="1" x14ac:dyDescent="0.25">
      <c r="B24" s="13"/>
      <c r="C24" s="11"/>
      <c r="D24" s="2" t="s">
        <v>18</v>
      </c>
      <c r="E24" s="6">
        <f>'[1]MARGE GLOBALE PALIER CA'!$FR$51</f>
        <v>0.35490328646453623</v>
      </c>
      <c r="F24" s="6">
        <f>'[2]MARGE GLOBALE PALIER CA'!$EH$53</f>
        <v>0.23753331282634865</v>
      </c>
      <c r="G24" s="6">
        <f>'[3]MARGE GLOBALE PALIER CA'!$EH$54</f>
        <v>0.30741871783444308</v>
      </c>
      <c r="I24" s="15"/>
      <c r="J24" s="11"/>
      <c r="K24" s="2" t="s">
        <v>18</v>
      </c>
      <c r="L24" s="6">
        <f>'[1]MARGE GLOBALE PALIER CA'!$FR$67</f>
        <v>0.29210673288470712</v>
      </c>
      <c r="M24" s="6">
        <f>'[2]MARGE GLOBALE PALIER CA'!$EH$69</f>
        <v>0.23204794097617862</v>
      </c>
      <c r="N24" s="6">
        <f>'[3]MARGE GLOBALE PALIER CA'!$EH$70</f>
        <v>0.3337449069226075</v>
      </c>
    </row>
    <row r="25" spans="2:14" outlineLevel="1" x14ac:dyDescent="0.25">
      <c r="B25" s="13"/>
      <c r="C25" s="11"/>
      <c r="D25" s="2" t="s">
        <v>19</v>
      </c>
      <c r="E25" s="6">
        <f>'[1]MARGE GLOBALE PALIER CA'!$GQ$51</f>
        <v>0.35490328646453623</v>
      </c>
      <c r="F25" s="6">
        <f>'[2]MARGE GLOBALE PALIER CA'!$FB$53</f>
        <v>0.23753331282634865</v>
      </c>
      <c r="G25" s="6">
        <f>'[3]MARGE GLOBALE PALIER CA'!$FB$54</f>
        <v>0.30741871783444308</v>
      </c>
      <c r="I25" s="15"/>
      <c r="J25" s="11"/>
      <c r="K25" s="2" t="s">
        <v>19</v>
      </c>
      <c r="L25" s="6">
        <f>'[1]MARGE GLOBALE PALIER CA'!$GQ$67</f>
        <v>0.29210673288470712</v>
      </c>
      <c r="M25" s="6">
        <f>'[2]MARGE GLOBALE PALIER CA'!$FB$69</f>
        <v>0.23204794097617862</v>
      </c>
      <c r="N25" s="6">
        <f>'[3]MARGE GLOBALE PALIER CA'!$FB$70</f>
        <v>0.3337449069226075</v>
      </c>
    </row>
    <row r="26" spans="2:14" outlineLevel="1" x14ac:dyDescent="0.25">
      <c r="B26" s="13"/>
      <c r="C26" s="11"/>
      <c r="D26" s="2" t="s">
        <v>20</v>
      </c>
      <c r="E26" s="6">
        <f>'[1]MARGE GLOBALE PALIER CA'!$HP$51</f>
        <v>0.35490328646453623</v>
      </c>
      <c r="F26" s="6">
        <f>'[2]MARGE GLOBALE PALIER CA'!$FV$53</f>
        <v>0.25947480022702923</v>
      </c>
      <c r="G26" s="6">
        <f>'[3]MARGE GLOBALE PALIER CA'!$FV$54</f>
        <v>0.36652607506604307</v>
      </c>
      <c r="I26" s="15"/>
      <c r="J26" s="11"/>
      <c r="K26" s="2" t="s">
        <v>20</v>
      </c>
      <c r="L26" s="6">
        <f>'[1]MARGE GLOBALE PALIER CA'!$HP$67</f>
        <v>0.29210673288470712</v>
      </c>
      <c r="M26" s="6">
        <f>'[2]MARGE GLOBALE PALIER CA'!$FV$69</f>
        <v>0.25398942837685923</v>
      </c>
      <c r="N26" s="6">
        <f>'[3]MARGE GLOBALE PALIER CA'!$FV$70</f>
        <v>0.3337449069226075</v>
      </c>
    </row>
    <row r="27" spans="2:14" outlineLevel="1" x14ac:dyDescent="0.25">
      <c r="B27" s="13"/>
      <c r="C27" s="11"/>
      <c r="D27" s="2" t="s">
        <v>21</v>
      </c>
      <c r="E27" s="6">
        <f>'[1]MARGE GLOBALE PALIER CA'!$IO$51</f>
        <v>0.35490328646453623</v>
      </c>
      <c r="F27" s="6">
        <f>'[2]MARGE GLOBALE PALIER CA'!$GP$53</f>
        <v>0.25947480022702923</v>
      </c>
      <c r="G27" s="6">
        <f>'[3]MARGE GLOBALE PALIER CA'!$GP$54</f>
        <v>0.36652607506604307</v>
      </c>
      <c r="I27" s="15"/>
      <c r="J27" s="11"/>
      <c r="K27" s="2" t="s">
        <v>21</v>
      </c>
      <c r="L27" s="6">
        <f>'[1]MARGE GLOBALE PALIER CA'!$IO$67</f>
        <v>0.29210673288470712</v>
      </c>
      <c r="M27" s="6">
        <f>'[2]MARGE GLOBALE PALIER CA'!$GP$69</f>
        <v>0.25398942837685923</v>
      </c>
      <c r="N27" s="6">
        <f>'[3]MARGE GLOBALE PALIER CA'!$GP$70</f>
        <v>0.3337449069226075</v>
      </c>
    </row>
    <row r="28" spans="2:14" outlineLevel="1" x14ac:dyDescent="0.25">
      <c r="B28" s="13"/>
      <c r="C28" s="11"/>
      <c r="D28" s="2" t="s">
        <v>22</v>
      </c>
      <c r="E28" s="6">
        <f>'[1]MARGE GLOBALE PALIER CA'!$JN$51</f>
        <v>0.36655476509413337</v>
      </c>
      <c r="F28" s="6">
        <f>'[2]MARGE GLOBALE PALIER CA'!$HJ$53</f>
        <v>0.25947480022702923</v>
      </c>
      <c r="G28" s="6">
        <f>'[3]MARGE GLOBALE PALIER CA'!$HJ$54</f>
        <v>0.36652607506604307</v>
      </c>
      <c r="I28" s="15"/>
      <c r="J28" s="11"/>
      <c r="K28" s="2" t="s">
        <v>22</v>
      </c>
      <c r="L28" s="6">
        <f>'[1]MARGE GLOBALE PALIER CA'!$JN$67</f>
        <v>0.31214587970753566</v>
      </c>
      <c r="M28" s="6">
        <f>'[2]MARGE GLOBALE PALIER CA'!$HJ$69</f>
        <v>0.25398942837685923</v>
      </c>
      <c r="N28" s="6">
        <f>'[3]MARGE GLOBALE PALIER CA'!$HJ$70</f>
        <v>0.39171315020327735</v>
      </c>
    </row>
    <row r="29" spans="2:14" outlineLevel="1" x14ac:dyDescent="0.25">
      <c r="B29" s="13"/>
      <c r="C29" s="11"/>
      <c r="D29" s="2" t="s">
        <v>23</v>
      </c>
      <c r="E29" s="6">
        <f>'[1]MARGE GLOBALE PALIER CA'!$KM$51</f>
        <v>0.36655476509413337</v>
      </c>
      <c r="F29" s="6">
        <f>'[2]MARGE GLOBALE PALIER CA'!$ID$53</f>
        <v>0.25947480022702923</v>
      </c>
      <c r="G29" s="6">
        <f>'[3]MARGE GLOBALE PALIER CA'!$ID$54</f>
        <v>0.36652607506604307</v>
      </c>
      <c r="I29" s="15"/>
      <c r="J29" s="11"/>
      <c r="K29" s="2" t="s">
        <v>23</v>
      </c>
      <c r="L29" s="6">
        <f>'[1]MARGE GLOBALE PALIER CA'!$KM$67</f>
        <v>0.3221654531189499</v>
      </c>
      <c r="M29" s="6">
        <f>'[2]MARGE GLOBALE PALIER CA'!$ID$69</f>
        <v>0.25398942837685923</v>
      </c>
      <c r="N29" s="6">
        <f>'[3]MARGE GLOBALE PALIER CA'!$ID$70</f>
        <v>0.39854783390885851</v>
      </c>
    </row>
    <row r="30" spans="2:14" outlineLevel="1" x14ac:dyDescent="0.25">
      <c r="B30" s="13"/>
      <c r="C30" s="11"/>
      <c r="D30" s="2" t="s">
        <v>24</v>
      </c>
      <c r="E30" s="6">
        <f>'[1]MARGE GLOBALE PALIER CA'!$LL$51</f>
        <v>0.36655476509413337</v>
      </c>
      <c r="F30" s="6">
        <f>'[2]MARGE GLOBALE PALIER CA'!$IX$53</f>
        <v>0.25947480022702923</v>
      </c>
      <c r="G30" s="6">
        <f>'[3]MARGE GLOBALE PALIER CA'!$IX$54</f>
        <v>0.42082384006038226</v>
      </c>
      <c r="I30" s="16"/>
      <c r="J30" s="11"/>
      <c r="K30" s="2" t="s">
        <v>24</v>
      </c>
      <c r="L30" s="6">
        <f>'[1]MARGE GLOBALE PALIER CA'!$LL$67</f>
        <v>0.3221654531189499</v>
      </c>
      <c r="M30" s="6">
        <f>'[2]MARGE GLOBALE PALIER CA'!$IX$69</f>
        <v>0.25398942837685923</v>
      </c>
      <c r="N30" s="6">
        <f>'[3]MARGE GLOBALE PALIER CA'!$IX$70</f>
        <v>0.39854783390885851</v>
      </c>
    </row>
    <row r="31" spans="2:14" x14ac:dyDescent="0.25">
      <c r="B31" s="9"/>
      <c r="C31" s="9"/>
      <c r="E31" s="7"/>
      <c r="F31" s="3"/>
      <c r="G31" s="3"/>
      <c r="I31" s="9"/>
      <c r="J31" s="9"/>
      <c r="K31" s="3"/>
      <c r="L31" s="7"/>
      <c r="M31" s="3"/>
      <c r="N31" s="3"/>
    </row>
    <row r="32" spans="2:14" x14ac:dyDescent="0.25">
      <c r="K32" s="3"/>
    </row>
    <row r="33" spans="2:14" ht="14.45" customHeight="1" outlineLevel="1" x14ac:dyDescent="0.25">
      <c r="B33" s="13" t="s">
        <v>9</v>
      </c>
      <c r="C33" s="12" t="s">
        <v>33</v>
      </c>
      <c r="D33" s="5" t="s">
        <v>3</v>
      </c>
      <c r="E33" s="5" t="s">
        <v>2</v>
      </c>
      <c r="F33" s="5" t="s">
        <v>0</v>
      </c>
      <c r="G33" s="5" t="s">
        <v>1</v>
      </c>
      <c r="I33" s="13" t="s">
        <v>8</v>
      </c>
      <c r="J33" s="12" t="s">
        <v>33</v>
      </c>
      <c r="K33" s="5" t="s">
        <v>3</v>
      </c>
      <c r="L33" s="5" t="s">
        <v>2</v>
      </c>
      <c r="M33" s="5" t="s">
        <v>0</v>
      </c>
      <c r="N33" s="5" t="s">
        <v>1</v>
      </c>
    </row>
    <row r="34" spans="2:14" outlineLevel="1" x14ac:dyDescent="0.25">
      <c r="B34" s="13"/>
      <c r="C34" s="11"/>
      <c r="D34" s="8" t="s">
        <v>12</v>
      </c>
      <c r="E34" s="6">
        <f>'[1]MARGE GLOBALE PALIER CA'!$X$18</f>
        <v>0.392770592010727</v>
      </c>
      <c r="F34" s="6">
        <f>'[2]MARGE GLOBALE PALIER CA'!$R$18</f>
        <v>0.22173466553707222</v>
      </c>
      <c r="G34" s="6">
        <f>'[3]MARGE GLOBALE PALIER CA'!$R$18</f>
        <v>0.32463199531516596</v>
      </c>
      <c r="I34" s="13"/>
      <c r="J34" s="11"/>
      <c r="K34" s="8" t="s">
        <v>12</v>
      </c>
      <c r="L34" s="6">
        <f>'[1]MARGE GLOBALE PALIER CA'!$X$34</f>
        <v>0.29544659068851187</v>
      </c>
      <c r="M34" s="6">
        <f>'[2]MARGE GLOBALE PALIER CA'!$R$34</f>
        <v>0.19982138135642893</v>
      </c>
      <c r="N34" s="6">
        <f>'[3]MARGE GLOBALE PALIER CA'!$R$34</f>
        <v>0.31030447317679954</v>
      </c>
    </row>
    <row r="35" spans="2:14" outlineLevel="1" x14ac:dyDescent="0.25">
      <c r="B35" s="13"/>
      <c r="C35" s="11"/>
      <c r="D35" s="8" t="s">
        <v>13</v>
      </c>
      <c r="E35" s="6">
        <f>'[1]MARGE GLOBALE PALIER CA'!$AW$18</f>
        <v>0.392770592010727</v>
      </c>
      <c r="F35" s="6">
        <f>'[2]MARGE GLOBALE PALIER CA'!$AL$18</f>
        <v>0.22173466553707222</v>
      </c>
      <c r="G35" s="6">
        <f>'[3]MARGE GLOBALE PALIER CA'!$AL$18</f>
        <v>0.33813935540886264</v>
      </c>
      <c r="I35" s="13"/>
      <c r="J35" s="11"/>
      <c r="K35" s="8" t="s">
        <v>13</v>
      </c>
      <c r="L35" s="6">
        <f>'[1]MARGE GLOBALE PALIER CA'!$AW$34</f>
        <v>0.29544659068851187</v>
      </c>
      <c r="M35" s="6">
        <f>'[2]MARGE GLOBALE PALIER CA'!$AL$34</f>
        <v>0.19982138135642893</v>
      </c>
      <c r="N35" s="6">
        <f>'[3]MARGE GLOBALE PALIER CA'!$AL$34</f>
        <v>0.31030447317679954</v>
      </c>
    </row>
    <row r="36" spans="2:14" outlineLevel="1" x14ac:dyDescent="0.25">
      <c r="B36" s="13"/>
      <c r="C36" s="11"/>
      <c r="D36" s="8" t="s">
        <v>14</v>
      </c>
      <c r="E36" s="6">
        <f>'[1]MARGE GLOBALE PALIER CA'!$BV$18</f>
        <v>0.4033151801705126</v>
      </c>
      <c r="F36" s="6">
        <f>'[2]MARGE GLOBALE PALIER CA'!$BF$18</f>
        <v>0.22173466553707222</v>
      </c>
      <c r="G36" s="6">
        <f>'[3]MARGE GLOBALE PALIER CA'!$BF$18</f>
        <v>0.33813935540886264</v>
      </c>
      <c r="I36" s="13"/>
      <c r="J36" s="11"/>
      <c r="K36" s="8" t="s">
        <v>14</v>
      </c>
      <c r="L36" s="6">
        <f>'[1]MARGE GLOBALE PALIER CA'!$BV$34</f>
        <v>0.32667426115408632</v>
      </c>
      <c r="M36" s="6">
        <f>'[2]MARGE GLOBALE PALIER CA'!$BF$34</f>
        <v>0.19982138135642893</v>
      </c>
      <c r="N36" s="6">
        <f>'[3]MARGE GLOBALE PALIER CA'!$BF$34</f>
        <v>0.33099533898149563</v>
      </c>
    </row>
    <row r="37" spans="2:14" outlineLevel="1" x14ac:dyDescent="0.25">
      <c r="B37" s="13"/>
      <c r="C37" s="11"/>
      <c r="D37" s="8" t="s">
        <v>15</v>
      </c>
      <c r="E37" s="6">
        <f>'[1]MARGE GLOBALE PALIER CA'!$CU$18</f>
        <v>0.4033151801705126</v>
      </c>
      <c r="F37" s="6">
        <f>'[2]MARGE GLOBALE PALIER CA'!$BZ$18</f>
        <v>0.28909580821794811</v>
      </c>
      <c r="G37" s="6">
        <f>'[3]MARGE GLOBALE PALIER CA'!$BZ$18</f>
        <v>0.39636073512307252</v>
      </c>
      <c r="I37" s="13"/>
      <c r="J37" s="11"/>
      <c r="K37" s="8" t="s">
        <v>15</v>
      </c>
      <c r="L37" s="6">
        <f>'[1]MARGE GLOBALE PALIER CA'!$CU$34</f>
        <v>0.32667426115408632</v>
      </c>
      <c r="M37" s="6">
        <f>'[2]MARGE GLOBALE PALIER CA'!$BZ$34</f>
        <v>0.27450471909649554</v>
      </c>
      <c r="N37" s="6">
        <f>'[3]MARGE GLOBALE PALIER CA'!$BZ$34</f>
        <v>0.33099533898149563</v>
      </c>
    </row>
    <row r="38" spans="2:14" outlineLevel="1" x14ac:dyDescent="0.25">
      <c r="B38" s="13"/>
      <c r="C38" s="11"/>
      <c r="D38" s="8" t="s">
        <v>16</v>
      </c>
      <c r="E38" s="6">
        <f>'[1]MARGE GLOBALE PALIER CA'!$DT$18</f>
        <v>0.40858747425040526</v>
      </c>
      <c r="F38" s="6">
        <f>'[2]MARGE GLOBALE PALIER CA'!$CT$18</f>
        <v>0.32069155007492822</v>
      </c>
      <c r="G38" s="6">
        <f>'[3]MARGE GLOBALE PALIER CA'!$CT$18</f>
        <v>0.39636073512307252</v>
      </c>
      <c r="I38" s="13"/>
      <c r="J38" s="11"/>
      <c r="K38" s="8" t="s">
        <v>16</v>
      </c>
      <c r="L38" s="6">
        <f>'[1]MARGE GLOBALE PALIER CA'!$DT$34</f>
        <v>0.33291979524720117</v>
      </c>
      <c r="M38" s="6">
        <f>'[2]MARGE GLOBALE PALIER CA'!$CT$34</f>
        <v>0.33425138928854886</v>
      </c>
      <c r="N38" s="6">
        <f>'[3]MARGE GLOBALE PALIER CA'!$CT$34</f>
        <v>0.37794303449156613</v>
      </c>
    </row>
    <row r="39" spans="2:14" outlineLevel="1" x14ac:dyDescent="0.25">
      <c r="B39" s="13"/>
      <c r="C39" s="11"/>
      <c r="D39" s="8" t="s">
        <v>17</v>
      </c>
      <c r="E39" s="6">
        <f>'[1]MARGE GLOBALE PALIER CA'!$ES$18</f>
        <v>0.40858747425040526</v>
      </c>
      <c r="F39" s="6">
        <f>'[2]MARGE GLOBALE PALIER CA'!$DN$18</f>
        <v>0.34786388807193114</v>
      </c>
      <c r="G39" s="6">
        <f>'[3]MARGE GLOBALE PALIER CA'!$DN$18</f>
        <v>0.39636073512307252</v>
      </c>
      <c r="I39" s="13"/>
      <c r="J39" s="11"/>
      <c r="K39" s="8" t="s">
        <v>17</v>
      </c>
      <c r="L39" s="6">
        <f>'[1]MARGE GLOBALE PALIER CA'!$ES$34</f>
        <v>0.33291979524720117</v>
      </c>
      <c r="M39" s="6">
        <f>'[2]MARGE GLOBALE PALIER CA'!$DN$34</f>
        <v>0.33425138928854886</v>
      </c>
      <c r="N39" s="6">
        <f>'[3]MARGE GLOBALE PALIER CA'!$DN$34</f>
        <v>0.37794303449156613</v>
      </c>
    </row>
    <row r="40" spans="2:14" outlineLevel="1" x14ac:dyDescent="0.25">
      <c r="B40" s="13"/>
      <c r="C40" s="11"/>
      <c r="D40" s="2" t="s">
        <v>18</v>
      </c>
      <c r="E40" s="6">
        <f>'[1]MARGE GLOBALE PALIER CA'!$FR$18</f>
        <v>0.40858747425040526</v>
      </c>
      <c r="F40" s="6">
        <f>'[2]MARGE GLOBALE PALIER CA'!$EH$18</f>
        <v>0.39807836869039237</v>
      </c>
      <c r="G40" s="6">
        <f>'[3]MARGE GLOBALE PALIER CA'!$EH$18</f>
        <v>0.39636073512307252</v>
      </c>
      <c r="I40" s="13"/>
      <c r="J40" s="11"/>
      <c r="K40" s="2" t="s">
        <v>18</v>
      </c>
      <c r="L40" s="6">
        <f>'[1]MARGE GLOBALE PALIER CA'!$FR$34</f>
        <v>0.33291979524720117</v>
      </c>
      <c r="M40" s="6">
        <f>'[2]MARGE GLOBALE PALIER CA'!$EH$34</f>
        <v>0.38551403231333059</v>
      </c>
      <c r="N40" s="6">
        <f>'[3]MARGE GLOBALE PALIER CA'!$EH$34</f>
        <v>0.39718190971347639</v>
      </c>
    </row>
    <row r="41" spans="2:14" outlineLevel="1" x14ac:dyDescent="0.25">
      <c r="B41" s="13"/>
      <c r="C41" s="11"/>
      <c r="D41" s="2" t="s">
        <v>19</v>
      </c>
      <c r="E41" s="6">
        <f>'[1]MARGE GLOBALE PALIER CA'!$GQ$18</f>
        <v>0.40858747425040526</v>
      </c>
      <c r="F41" s="6">
        <f>'[2]MARGE GLOBALE PALIER CA'!$FB$18</f>
        <v>0.41061840267600919</v>
      </c>
      <c r="G41" s="6">
        <f>'[3]MARGE GLOBALE PALIER CA'!$FB$18</f>
        <v>0.39636073512307252</v>
      </c>
      <c r="I41" s="13"/>
      <c r="J41" s="11"/>
      <c r="K41" s="2" t="s">
        <v>19</v>
      </c>
      <c r="L41" s="6">
        <f>'[1]MARGE GLOBALE PALIER CA'!$GQ$34</f>
        <v>0.33291979524720117</v>
      </c>
      <c r="M41" s="6">
        <f>'[2]MARGE GLOBALE PALIER CA'!$FB$34</f>
        <v>0.39831582330680282</v>
      </c>
      <c r="N41" s="6">
        <f>'[3]MARGE GLOBALE PALIER CA'!$FB$34</f>
        <v>0.39718190971347639</v>
      </c>
    </row>
    <row r="42" spans="2:14" outlineLevel="1" x14ac:dyDescent="0.25">
      <c r="B42" s="13"/>
      <c r="C42" s="11"/>
      <c r="D42" s="2" t="s">
        <v>20</v>
      </c>
      <c r="E42" s="6">
        <f>'[1]MARGE GLOBALE PALIER CA'!$HP$18</f>
        <v>0.40858747425040526</v>
      </c>
      <c r="F42" s="6">
        <f>'[2]MARGE GLOBALE PALIER CA'!$FV$18</f>
        <v>0.42889380104264463</v>
      </c>
      <c r="G42" s="6">
        <f>'[3]MARGE GLOBALE PALIER CA'!$FV$18</f>
        <v>0.4734967855719362</v>
      </c>
      <c r="I42" s="13"/>
      <c r="J42" s="11"/>
      <c r="K42" s="2" t="s">
        <v>20</v>
      </c>
      <c r="L42" s="6">
        <f>'[1]MARGE GLOBALE PALIER CA'!$HP$34</f>
        <v>0.33291979524720117</v>
      </c>
      <c r="M42" s="6">
        <f>'[2]MARGE GLOBALE PALIER CA'!$FV$34</f>
        <v>0.42923707232180497</v>
      </c>
      <c r="N42" s="6">
        <f>'[3]MARGE GLOBALE PALIER CA'!$FV$34</f>
        <v>0.4348580403563842</v>
      </c>
    </row>
    <row r="43" spans="2:14" outlineLevel="1" x14ac:dyDescent="0.25">
      <c r="B43" s="13"/>
      <c r="C43" s="11"/>
      <c r="D43" s="2" t="s">
        <v>21</v>
      </c>
      <c r="E43" s="6">
        <f>'[1]MARGE GLOBALE PALIER CA'!$IO$18</f>
        <v>0.40858747425040526</v>
      </c>
      <c r="F43" s="6">
        <f>'[2]MARGE GLOBALE PALIER CA'!$GP$18</f>
        <v>0.44104499676514136</v>
      </c>
      <c r="G43" s="6">
        <f>'[3]MARGE GLOBALE PALIER CA'!$GP$18</f>
        <v>0.4734967855719362</v>
      </c>
      <c r="I43" s="13"/>
      <c r="J43" s="11"/>
      <c r="K43" s="2" t="s">
        <v>21</v>
      </c>
      <c r="L43" s="6">
        <f>'[1]MARGE GLOBALE PALIER CA'!$IO$34</f>
        <v>0.33291979524720117</v>
      </c>
      <c r="M43" s="6">
        <f>'[2]MARGE GLOBALE PALIER CA'!$GP$34</f>
        <v>0.42923707232180497</v>
      </c>
      <c r="N43" s="6">
        <f>'[3]MARGE GLOBALE PALIER CA'!$GP$34</f>
        <v>0.4348580403563842</v>
      </c>
    </row>
    <row r="44" spans="2:14" outlineLevel="1" x14ac:dyDescent="0.25">
      <c r="B44" s="13"/>
      <c r="C44" s="11"/>
      <c r="D44" s="2" t="s">
        <v>22</v>
      </c>
      <c r="E44" s="6">
        <f>'[1]MARGE GLOBALE PALIER CA'!$JN$18</f>
        <v>0.41913206241019074</v>
      </c>
      <c r="F44" s="6">
        <f>'[2]MARGE GLOBALE PALIER CA'!$HJ$18</f>
        <v>0.44831201739224691</v>
      </c>
      <c r="G44" s="6">
        <f>'[3]MARGE GLOBALE PALIER CA'!$HJ$18</f>
        <v>0.4734967855719362</v>
      </c>
      <c r="I44" s="13"/>
      <c r="J44" s="11"/>
      <c r="K44" s="2" t="s">
        <v>22</v>
      </c>
      <c r="L44" s="6">
        <f>'[1]MARGE GLOBALE PALIER CA'!$JN$34</f>
        <v>0.35165639752654576</v>
      </c>
      <c r="M44" s="6">
        <f>'[2]MARGE GLOBALE PALIER CA'!$HJ$34</f>
        <v>0.43665760875965809</v>
      </c>
      <c r="N44" s="6">
        <f>'[3]MARGE GLOBALE PALIER CA'!$HJ$34</f>
        <v>0.464918782890619</v>
      </c>
    </row>
    <row r="45" spans="2:14" outlineLevel="1" x14ac:dyDescent="0.25">
      <c r="B45" s="13"/>
      <c r="C45" s="11"/>
      <c r="D45" s="2" t="s">
        <v>23</v>
      </c>
      <c r="E45" s="6">
        <f>'[1]MARGE GLOBALE PALIER CA'!$KM$18</f>
        <v>0.41913206241019074</v>
      </c>
      <c r="F45" s="6">
        <f>'[2]MARGE GLOBALE PALIER CA'!$ID$18</f>
        <v>0.48459446095801245</v>
      </c>
      <c r="G45" s="6">
        <f>'[3]MARGE GLOBALE PALIER CA'!$ID$18</f>
        <v>0.4734967855719362</v>
      </c>
      <c r="I45" s="13"/>
      <c r="J45" s="11"/>
      <c r="K45" s="2" t="s">
        <v>23</v>
      </c>
      <c r="L45" s="6">
        <f>'[1]MARGE GLOBALE PALIER CA'!$KM$34</f>
        <v>0.36102469866621811</v>
      </c>
      <c r="M45" s="6">
        <f>'[2]MARGE GLOBALE PALIER CA'!$ID$34</f>
        <v>0.47370651894575039</v>
      </c>
      <c r="N45" s="6">
        <f>'[3]MARGE GLOBALE PALIER CA'!$ID$34</f>
        <v>0.470930931397466</v>
      </c>
    </row>
    <row r="46" spans="2:14" outlineLevel="1" x14ac:dyDescent="0.25">
      <c r="B46" s="13"/>
      <c r="C46" s="11"/>
      <c r="D46" s="2" t="s">
        <v>24</v>
      </c>
      <c r="E46" s="6">
        <f>'[1]MARGE GLOBALE PALIER CA'!$LL$18</f>
        <v>0.41913206241019074</v>
      </c>
      <c r="F46" s="6">
        <f>'[2]MARGE GLOBALE PALIER CA'!$IX$18</f>
        <v>0.48459446095801245</v>
      </c>
      <c r="G46" s="6">
        <f>'[3]MARGE GLOBALE PALIER CA'!$IX$18</f>
        <v>0.54272928372459617</v>
      </c>
      <c r="I46" s="13"/>
      <c r="J46" s="11"/>
      <c r="K46" s="2" t="s">
        <v>24</v>
      </c>
      <c r="L46" s="6">
        <f>'[1]MARGE GLOBALE PALIER CA'!$LL$34</f>
        <v>0.36102469866621811</v>
      </c>
      <c r="M46" s="6">
        <f>'[2]MARGE GLOBALE PALIER CA'!$IX$34</f>
        <v>0.47370651894575039</v>
      </c>
      <c r="N46" s="6">
        <f>'[3]MARGE GLOBALE PALIER CA'!$IX$34</f>
        <v>0.470930931397466</v>
      </c>
    </row>
    <row r="47" spans="2:14" x14ac:dyDescent="0.25">
      <c r="B47" s="9"/>
      <c r="C47" s="9"/>
      <c r="E47" s="7"/>
      <c r="F47" s="3"/>
      <c r="G47" s="3"/>
      <c r="I47" s="9"/>
      <c r="J47" s="9"/>
      <c r="K47" s="3"/>
      <c r="L47" s="7"/>
      <c r="M47" s="3"/>
      <c r="N47" s="3"/>
    </row>
    <row r="48" spans="2:14" ht="14.45" customHeight="1" outlineLevel="1" x14ac:dyDescent="0.25">
      <c r="B48" s="13" t="s">
        <v>10</v>
      </c>
      <c r="C48" s="12" t="s">
        <v>33</v>
      </c>
      <c r="D48" s="5" t="s">
        <v>3</v>
      </c>
      <c r="E48" s="5" t="s">
        <v>2</v>
      </c>
      <c r="F48" s="5" t="s">
        <v>0</v>
      </c>
      <c r="G48" s="5" t="s">
        <v>1</v>
      </c>
      <c r="I48" s="13" t="s">
        <v>11</v>
      </c>
      <c r="J48" s="12" t="s">
        <v>33</v>
      </c>
      <c r="K48" s="5" t="s">
        <v>3</v>
      </c>
      <c r="L48" s="5" t="s">
        <v>2</v>
      </c>
      <c r="M48" s="5" t="s">
        <v>0</v>
      </c>
      <c r="N48" s="5" t="s">
        <v>1</v>
      </c>
    </row>
    <row r="49" spans="2:14" outlineLevel="1" x14ac:dyDescent="0.25">
      <c r="B49" s="13"/>
      <c r="C49" s="11"/>
      <c r="D49" s="8" t="s">
        <v>12</v>
      </c>
      <c r="E49" s="6">
        <f>'[1]MARGE GLOBALE PALIER CA'!$X$54</f>
        <v>0.392770592010727</v>
      </c>
      <c r="F49" s="6">
        <f>'[2]MARGE GLOBALE PALIER CA'!$R$57</f>
        <v>0.17719422247447708</v>
      </c>
      <c r="G49" s="6" t="s">
        <v>31</v>
      </c>
      <c r="I49" s="13"/>
      <c r="J49" s="11"/>
      <c r="K49" s="8" t="s">
        <v>12</v>
      </c>
      <c r="L49" s="6">
        <f>'[1]MARGE GLOBALE PALIER CA'!$X$70</f>
        <v>0.29544659068851187</v>
      </c>
      <c r="M49" s="6">
        <f>'[2]MARGE GLOBALE PALIER CA'!$R$73</f>
        <v>0.17719422247447708</v>
      </c>
      <c r="N49" s="6">
        <f>'[3]MARGE GLOBALE PALIER CA'!$R$73</f>
        <v>0.32240439470001364</v>
      </c>
    </row>
    <row r="50" spans="2:14" outlineLevel="1" x14ac:dyDescent="0.25">
      <c r="B50" s="13"/>
      <c r="C50" s="11"/>
      <c r="D50" s="8" t="s">
        <v>13</v>
      </c>
      <c r="E50" s="6">
        <f>'[1]MARGE GLOBALE PALIER CA'!$AW$54</f>
        <v>0.392770592010727</v>
      </c>
      <c r="F50" s="6">
        <f>'[2]MARGE GLOBALE PALIER CA'!$AL$57</f>
        <v>0.17719422247447708</v>
      </c>
      <c r="G50" s="6" t="s">
        <v>31</v>
      </c>
      <c r="I50" s="13"/>
      <c r="J50" s="11"/>
      <c r="K50" s="8" t="s">
        <v>13</v>
      </c>
      <c r="L50" s="6">
        <f>'[1]MARGE GLOBALE PALIER CA'!$AW$70</f>
        <v>0.29544659068851187</v>
      </c>
      <c r="M50" s="6">
        <f>'[2]MARGE GLOBALE PALIER CA'!$AL$73</f>
        <v>0.17719422247447708</v>
      </c>
      <c r="N50" s="6">
        <f>'[3]MARGE GLOBALE PALIER CA'!$AL$73</f>
        <v>0.32240439470001364</v>
      </c>
    </row>
    <row r="51" spans="2:14" outlineLevel="1" x14ac:dyDescent="0.25">
      <c r="B51" s="13"/>
      <c r="C51" s="11"/>
      <c r="D51" s="8" t="s">
        <v>14</v>
      </c>
      <c r="E51" s="6">
        <f>'[1]MARGE GLOBALE PALIER CA'!$BV$54</f>
        <v>0.4033151801705126</v>
      </c>
      <c r="F51" s="6">
        <f>'[2]MARGE GLOBALE PALIER CA'!$BF$57</f>
        <v>0.17719422247447708</v>
      </c>
      <c r="G51" s="6" t="s">
        <v>31</v>
      </c>
      <c r="I51" s="13"/>
      <c r="J51" s="11"/>
      <c r="K51" s="8" t="s">
        <v>14</v>
      </c>
      <c r="L51" s="6">
        <f>'[1]MARGE GLOBALE PALIER CA'!$BV$70</f>
        <v>0.32667426115408632</v>
      </c>
      <c r="M51" s="6">
        <f>'[2]MARGE GLOBALE PALIER CA'!$BF$73</f>
        <v>0.17719422247447708</v>
      </c>
      <c r="N51" s="6">
        <f>'[3]MARGE GLOBALE PALIER CA'!$BF$73</f>
        <v>0.34273226285901326</v>
      </c>
    </row>
    <row r="52" spans="2:14" outlineLevel="1" x14ac:dyDescent="0.25">
      <c r="B52" s="13"/>
      <c r="C52" s="11"/>
      <c r="D52" s="8" t="s">
        <v>15</v>
      </c>
      <c r="E52" s="6">
        <f>'[1]MARGE GLOBALE PALIER CA'!$CU$54</f>
        <v>0.4033151801705126</v>
      </c>
      <c r="F52" s="6">
        <f>'[2]MARGE GLOBALE PALIER CA'!$BZ$57</f>
        <v>0.20462108172532784</v>
      </c>
      <c r="G52" s="6">
        <f>'[3]MARGE GLOBALE PALIER CA'!$BZ$57</f>
        <v>0.36282522040768755</v>
      </c>
      <c r="I52" s="13"/>
      <c r="J52" s="11"/>
      <c r="K52" s="8" t="s">
        <v>15</v>
      </c>
      <c r="L52" s="6">
        <f>'[1]MARGE GLOBALE PALIER CA'!$CU$70</f>
        <v>0.32667426115408632</v>
      </c>
      <c r="M52" s="6">
        <f>'[2]MARGE GLOBALE PALIER CA'!$BZ$73</f>
        <v>0.19913570987515763</v>
      </c>
      <c r="N52" s="6">
        <f>'[3]MARGE GLOBALE PALIER CA'!$BZ$73</f>
        <v>0.34273226285901326</v>
      </c>
    </row>
    <row r="53" spans="2:14" outlineLevel="1" x14ac:dyDescent="0.25">
      <c r="B53" s="13"/>
      <c r="C53" s="11"/>
      <c r="D53" s="8" t="s">
        <v>16</v>
      </c>
      <c r="E53" s="6">
        <f>'[1]MARGE GLOBALE PALIER CA'!$DT$54</f>
        <v>0.40858747425040526</v>
      </c>
      <c r="F53" s="6">
        <f>'[2]MARGE GLOBALE PALIER CA'!$CT$57</f>
        <v>0.23753331282634865</v>
      </c>
      <c r="G53" s="6">
        <f>'[3]MARGE GLOBALE PALIER CA'!$CT$57</f>
        <v>0.36282522040768755</v>
      </c>
      <c r="I53" s="13"/>
      <c r="J53" s="11"/>
      <c r="K53" s="8" t="s">
        <v>16</v>
      </c>
      <c r="L53" s="6">
        <f>'[1]MARGE GLOBALE PALIER CA'!$DT$70</f>
        <v>0.33291979524720117</v>
      </c>
      <c r="M53" s="6">
        <f>'[2]MARGE GLOBALE PALIER CA'!$CT$73</f>
        <v>0.23204794097617862</v>
      </c>
      <c r="N53" s="6">
        <f>'[3]MARGE GLOBALE PALIER CA'!$CT$73</f>
        <v>0.34273226285901326</v>
      </c>
    </row>
    <row r="54" spans="2:14" outlineLevel="1" x14ac:dyDescent="0.25">
      <c r="B54" s="13"/>
      <c r="C54" s="11"/>
      <c r="D54" s="8" t="s">
        <v>17</v>
      </c>
      <c r="E54" s="6">
        <f>'[1]MARGE GLOBALE PALIER CA'!$ES$54</f>
        <v>0.40858747425040526</v>
      </c>
      <c r="F54" s="6">
        <f>'[2]MARGE GLOBALE PALIER CA'!$DN$57</f>
        <v>0.23753331282634865</v>
      </c>
      <c r="G54" s="6">
        <f>'[3]MARGE GLOBALE PALIER CA'!$DN$57</f>
        <v>0.36282522040768755</v>
      </c>
      <c r="I54" s="13"/>
      <c r="J54" s="11"/>
      <c r="K54" s="8" t="s">
        <v>17</v>
      </c>
      <c r="L54" s="6">
        <f>'[1]MARGE GLOBALE PALIER CA'!$ES$70</f>
        <v>0.33291979524720117</v>
      </c>
      <c r="M54" s="6">
        <f>'[2]MARGE GLOBALE PALIER CA'!$DN$73</f>
        <v>0.23204794097617862</v>
      </c>
      <c r="N54" s="6">
        <f>'[3]MARGE GLOBALE PALIER CA'!$DN$73</f>
        <v>0.34273226285901326</v>
      </c>
    </row>
    <row r="55" spans="2:14" outlineLevel="1" x14ac:dyDescent="0.25">
      <c r="B55" s="13"/>
      <c r="C55" s="11"/>
      <c r="D55" s="2" t="s">
        <v>18</v>
      </c>
      <c r="E55" s="6">
        <f>'[1]MARGE GLOBALE PALIER CA'!$FR$54</f>
        <v>0.40858747425040526</v>
      </c>
      <c r="F55" s="6">
        <f>'[2]MARGE GLOBALE PALIER CA'!$EH$57</f>
        <v>0.23753331282634865</v>
      </c>
      <c r="G55" s="6">
        <f>'[3]MARGE GLOBALE PALIER CA'!$EH$57</f>
        <v>0.36282522040768755</v>
      </c>
      <c r="I55" s="13"/>
      <c r="J55" s="11"/>
      <c r="K55" s="2" t="s">
        <v>18</v>
      </c>
      <c r="L55" s="6">
        <f>'[1]MARGE GLOBALE PALIER CA'!$FR$70</f>
        <v>0.33291979524720117</v>
      </c>
      <c r="M55" s="6">
        <f>'[2]MARGE GLOBALE PALIER CA'!$EH$73</f>
        <v>0.23204794097617862</v>
      </c>
      <c r="N55" s="6">
        <f>'[3]MARGE GLOBALE PALIER CA'!$EH$73</f>
        <v>0.36306013101801288</v>
      </c>
    </row>
    <row r="56" spans="2:14" outlineLevel="1" x14ac:dyDescent="0.25">
      <c r="B56" s="13"/>
      <c r="C56" s="11"/>
      <c r="D56" s="2" t="s">
        <v>19</v>
      </c>
      <c r="E56" s="6">
        <f>'[1]MARGE GLOBALE PALIER CA'!$GQ$54</f>
        <v>0.40858747425040526</v>
      </c>
      <c r="F56" s="6">
        <f>'[2]MARGE GLOBALE PALIER CA'!$FB$57</f>
        <v>0.23753331282634865</v>
      </c>
      <c r="G56" s="6">
        <f>'[3]MARGE GLOBALE PALIER CA'!$FB$57</f>
        <v>0.36282522040768755</v>
      </c>
      <c r="I56" s="13"/>
      <c r="J56" s="11"/>
      <c r="K56" s="2" t="s">
        <v>19</v>
      </c>
      <c r="L56" s="6">
        <f>'[1]MARGE GLOBALE PALIER CA'!$GQ$70</f>
        <v>0.33291979524720117</v>
      </c>
      <c r="M56" s="6">
        <f>'[2]MARGE GLOBALE PALIER CA'!$FB$73</f>
        <v>0.23204794097617862</v>
      </c>
      <c r="N56" s="6">
        <f>'[3]MARGE GLOBALE PALIER CA'!$FB$73</f>
        <v>0.36306013101801288</v>
      </c>
    </row>
    <row r="57" spans="2:14" outlineLevel="1" x14ac:dyDescent="0.25">
      <c r="B57" s="13"/>
      <c r="C57" s="11"/>
      <c r="D57" s="2" t="s">
        <v>20</v>
      </c>
      <c r="E57" s="6">
        <f>'[1]MARGE GLOBALE PALIER CA'!$HP$54</f>
        <v>0.40858747425040526</v>
      </c>
      <c r="F57" s="6">
        <f>'[2]MARGE GLOBALE PALIER CA'!$FV$57</f>
        <v>0.25947480022702923</v>
      </c>
      <c r="G57" s="6">
        <f>'[3]MARGE GLOBALE PALIER CA'!$FV$57</f>
        <v>0.41720398906075962</v>
      </c>
      <c r="I57" s="13"/>
      <c r="J57" s="11"/>
      <c r="K57" s="2" t="s">
        <v>20</v>
      </c>
      <c r="L57" s="6">
        <f>'[1]MARGE GLOBALE PALIER CA'!$HP$70</f>
        <v>0.33291979524720117</v>
      </c>
      <c r="M57" s="6">
        <f>'[2]MARGE GLOBALE PALIER CA'!$FV$73</f>
        <v>0.25398942837685923</v>
      </c>
      <c r="N57" s="6">
        <f>'[3]MARGE GLOBALE PALIER CA'!$FV$73</f>
        <v>0.36306013101801288</v>
      </c>
    </row>
    <row r="58" spans="2:14" outlineLevel="1" x14ac:dyDescent="0.25">
      <c r="B58" s="13"/>
      <c r="C58" s="11"/>
      <c r="D58" s="2" t="s">
        <v>21</v>
      </c>
      <c r="E58" s="6">
        <f>'[1]MARGE GLOBALE PALIER CA'!$IO$54</f>
        <v>0.40858747425040526</v>
      </c>
      <c r="F58" s="6">
        <f>'[2]MARGE GLOBALE PALIER CA'!$GP$57</f>
        <v>0.25947480022702923</v>
      </c>
      <c r="G58" s="6">
        <f>'[3]MARGE GLOBALE PALIER CA'!$GP$57</f>
        <v>0.41720398906075962</v>
      </c>
      <c r="I58" s="13"/>
      <c r="J58" s="11"/>
      <c r="K58" s="2" t="s">
        <v>21</v>
      </c>
      <c r="L58" s="6">
        <f>'[1]MARGE GLOBALE PALIER CA'!$IO$70</f>
        <v>0.33291979524720117</v>
      </c>
      <c r="M58" s="6">
        <f>'[2]MARGE GLOBALE PALIER CA'!$GP$73</f>
        <v>0.25398942837685923</v>
      </c>
      <c r="N58" s="6">
        <f>'[3]MARGE GLOBALE PALIER CA'!$GP$73</f>
        <v>0.36306013101801288</v>
      </c>
    </row>
    <row r="59" spans="2:14" outlineLevel="1" x14ac:dyDescent="0.25">
      <c r="B59" s="13"/>
      <c r="C59" s="11"/>
      <c r="D59" s="2" t="s">
        <v>22</v>
      </c>
      <c r="E59" s="6">
        <f>'[1]MARGE GLOBALE PALIER CA'!$JN$54</f>
        <v>0.41913206241019074</v>
      </c>
      <c r="F59" s="6">
        <f>'[2]MARGE GLOBALE PALIER CA'!$HJ$57</f>
        <v>0.25947480022702923</v>
      </c>
      <c r="G59" s="6">
        <f>'[3]MARGE GLOBALE PALIER CA'!$HJ$57</f>
        <v>0.41720398906075962</v>
      </c>
      <c r="I59" s="13"/>
      <c r="J59" s="11"/>
      <c r="K59" s="2" t="s">
        <v>22</v>
      </c>
      <c r="L59" s="6">
        <f>'[1]MARGE GLOBALE PALIER CA'!$JN$70</f>
        <v>0.35165639752654576</v>
      </c>
      <c r="M59" s="6">
        <f>'[2]MARGE GLOBALE PALIER CA'!$HJ$73</f>
        <v>0.25398942837685923</v>
      </c>
      <c r="N59" s="6">
        <f>'[3]MARGE GLOBALE PALIER CA'!$HJ$73</f>
        <v>0.41847777159433314</v>
      </c>
    </row>
    <row r="60" spans="2:14" outlineLevel="1" x14ac:dyDescent="0.25">
      <c r="B60" s="13"/>
      <c r="C60" s="11"/>
      <c r="D60" s="2" t="s">
        <v>23</v>
      </c>
      <c r="E60" s="6">
        <f>'[1]MARGE GLOBALE PALIER CA'!$KM$54</f>
        <v>0.41913206241019074</v>
      </c>
      <c r="F60" s="6">
        <f>'[2]MARGE GLOBALE PALIER CA'!$ID$57</f>
        <v>0.25947480022702923</v>
      </c>
      <c r="G60" s="6">
        <f>'[3]MARGE GLOBALE PALIER CA'!$ID$57</f>
        <v>0.41720398906075962</v>
      </c>
      <c r="I60" s="13"/>
      <c r="J60" s="11"/>
      <c r="K60" s="2" t="s">
        <v>23</v>
      </c>
      <c r="L60" s="6">
        <f>'[1]MARGE GLOBALE PALIER CA'!$KM$70</f>
        <v>0.36102469866621811</v>
      </c>
      <c r="M60" s="6">
        <f>'[2]MARGE GLOBALE PALIER CA'!$ID$73</f>
        <v>0.25398942837685923</v>
      </c>
      <c r="N60" s="6">
        <f>'[3]MARGE GLOBALE PALIER CA'!$ID$73</f>
        <v>0.42501172921686875</v>
      </c>
    </row>
    <row r="61" spans="2:14" outlineLevel="1" x14ac:dyDescent="0.25">
      <c r="B61" s="13"/>
      <c r="C61" s="11"/>
      <c r="D61" s="2" t="s">
        <v>24</v>
      </c>
      <c r="E61" s="6">
        <f>'[1]MARGE GLOBALE PALIER CA'!$LL$54</f>
        <v>0.41913206241019074</v>
      </c>
      <c r="F61" s="6">
        <f>'[2]MARGE GLOBALE PALIER CA'!$IX$57</f>
        <v>0.25947480022702923</v>
      </c>
      <c r="G61" s="6">
        <f>'[3]MARGE GLOBALE PALIER CA'!$IX$57</f>
        <v>0.46715793285555168</v>
      </c>
      <c r="I61" s="13"/>
      <c r="J61" s="11"/>
      <c r="K61" s="2" t="s">
        <v>24</v>
      </c>
      <c r="L61" s="6">
        <f>'[1]MARGE GLOBALE PALIER CA'!$LL$70</f>
        <v>0.36102469866621811</v>
      </c>
      <c r="M61" s="6">
        <f>'[2]MARGE GLOBALE PALIER CA'!$IX$73</f>
        <v>0.25398942837685923</v>
      </c>
      <c r="N61" s="6">
        <f>'[3]MARGE GLOBALE PALIER CA'!$IX$73</f>
        <v>0.42501172921686875</v>
      </c>
    </row>
    <row r="67" spans="4:11" x14ac:dyDescent="0.25">
      <c r="D67" s="3" t="s">
        <v>27</v>
      </c>
      <c r="K67" t="s">
        <v>30</v>
      </c>
    </row>
    <row r="69" spans="4:11" x14ac:dyDescent="0.25">
      <c r="K69" t="s">
        <v>28</v>
      </c>
    </row>
    <row r="70" spans="4:11" x14ac:dyDescent="0.25">
      <c r="D70" s="3" t="s">
        <v>26</v>
      </c>
    </row>
    <row r="71" spans="4:11" x14ac:dyDescent="0.25">
      <c r="K71" t="s">
        <v>29</v>
      </c>
    </row>
    <row r="73" spans="4:11" x14ac:dyDescent="0.25">
      <c r="D73" s="3" t="s">
        <v>25</v>
      </c>
    </row>
    <row r="75" spans="4:11" x14ac:dyDescent="0.25">
      <c r="D75" s="10" t="s">
        <v>32</v>
      </c>
    </row>
  </sheetData>
  <mergeCells count="8">
    <mergeCell ref="B48:B61"/>
    <mergeCell ref="I48:I61"/>
    <mergeCell ref="B2:B15"/>
    <mergeCell ref="B17:B30"/>
    <mergeCell ref="I2:I15"/>
    <mergeCell ref="I17:I30"/>
    <mergeCell ref="I33:I46"/>
    <mergeCell ref="B33:B46"/>
  </mergeCells>
  <conditionalFormatting sqref="L3:N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N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N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N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N3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:N3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6:N3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:N37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G3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G4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G5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G6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G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G8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G9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G10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G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G12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G13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G14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G1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G18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G19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G20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G21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G22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:G23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G24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G25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G26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G2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G28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G2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G30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G34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:G35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G36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G37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G3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G39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:G4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G41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2:G42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:G43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:G44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G45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G46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G49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G50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G51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:G52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:G53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:G54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:G55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G5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:G57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G58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9:G59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:G60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:G61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N7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:N8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N9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N10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:N11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N12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N13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N14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N15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:N18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:N19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N20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:N21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:N22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:N2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:N24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N2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N26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:N27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:N28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:N29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0:N30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8:N38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9:N39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:N40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N41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:N42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3:N43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4:N44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:N45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6:N46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N49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0:N50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1:N51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2:N52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3:N53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4:N54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5:N55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:N56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7:N57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8:N58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9:N59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0:N60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1:N61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D35B-8415-4A05-9DE9-5246F2488DEA}">
  <sheetPr>
    <tabColor theme="0"/>
  </sheetPr>
  <dimension ref="A1"/>
  <sheetViews>
    <sheetView showGridLines="0" workbookViewId="0">
      <selection activeCell="F18" sqref="F1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MARGE PAR CLUSTERS CA</vt:lpstr>
      <vt:lpstr>SIMU PARTEN REEL + NON RETENU</vt:lpstr>
    </vt:vector>
  </TitlesOfParts>
  <Company>Healthy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Pierre-Antoine ROUAULT</dc:creator>
  <cp:lastModifiedBy>abscheidt gonzague</cp:lastModifiedBy>
  <dcterms:created xsi:type="dcterms:W3CDTF">2025-12-19T10:38:38Z</dcterms:created>
  <dcterms:modified xsi:type="dcterms:W3CDTF">2026-01-10T16:17:00Z</dcterms:modified>
</cp:coreProperties>
</file>